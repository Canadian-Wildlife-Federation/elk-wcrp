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cwffcf.sharepoint.com/sites/Conservation-General/Shared Documents/Freshwater/Fish Passage/WCRPs/BC/Elk/Online WCRP/"/>
    </mc:Choice>
  </mc:AlternateContent>
  <xr:revisionPtr revIDLastSave="5" documentId="8_{ED643EE0-B7A8-473F-8772-C08197E62E89}" xr6:coauthVersionLast="47" xr6:coauthVersionMax="47" xr10:uidLastSave="{9F6593E5-1486-49AD-847A-4270CC5AC162}"/>
  <bookViews>
    <workbookView xWindow="-110" yWindow="-110" windowWidth="19420" windowHeight="10420" xr2:uid="{8CD2AAC1-03F3-4364-AD52-AF6E38ABDD42}"/>
  </bookViews>
  <sheets>
    <sheet name="Combined Output Table_20260424" sheetId="1" r:id="rId1"/>
  </sheets>
  <definedNames>
    <definedName name="_xlnm._FilterDatabase" localSheetId="0" hidden="1">'Combined Output Table_20260424'!$A$1:$DE$492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F3" i="1" l="1"/>
  <c r="DF4" i="1" s="1"/>
  <c r="DF5" i="1" s="1"/>
  <c r="DF6" i="1" s="1"/>
  <c r="DF7" i="1" s="1"/>
  <c r="DF8" i="1" s="1"/>
  <c r="DF9" i="1" s="1"/>
  <c r="DF10" i="1" s="1"/>
  <c r="DF11" i="1" s="1"/>
  <c r="DF12" i="1" s="1"/>
  <c r="DF13" i="1" s="1"/>
  <c r="DF14" i="1" s="1"/>
  <c r="DF15" i="1" s="1"/>
  <c r="DF16" i="1" s="1"/>
  <c r="DF17" i="1" s="1"/>
  <c r="DF18" i="1" s="1"/>
  <c r="DF19" i="1" s="1"/>
  <c r="DF20" i="1" s="1"/>
  <c r="DF21" i="1" s="1"/>
  <c r="DF22" i="1" s="1"/>
  <c r="DF23" i="1" s="1"/>
  <c r="DF24" i="1" s="1"/>
  <c r="DF25" i="1" s="1"/>
  <c r="DF26" i="1" s="1"/>
  <c r="DF27" i="1" s="1"/>
  <c r="DF28" i="1" s="1"/>
  <c r="DF29" i="1" s="1"/>
  <c r="DF30" i="1" s="1"/>
  <c r="DF31" i="1" s="1"/>
  <c r="DF32" i="1" s="1"/>
  <c r="DF33" i="1" s="1"/>
  <c r="DF34" i="1" s="1"/>
  <c r="DF35" i="1" s="1"/>
  <c r="DF36" i="1" s="1"/>
  <c r="DF37" i="1" s="1"/>
  <c r="DF38" i="1" s="1"/>
  <c r="DF39" i="1" s="1"/>
  <c r="DF40" i="1" s="1"/>
  <c r="DF41" i="1" s="1"/>
  <c r="DF42" i="1" s="1"/>
  <c r="DF43" i="1" s="1"/>
  <c r="DF44" i="1" s="1"/>
  <c r="DF45" i="1" s="1"/>
  <c r="DF46" i="1" s="1"/>
  <c r="DF47" i="1" s="1"/>
  <c r="DF48" i="1" s="1"/>
  <c r="DF49" i="1" s="1"/>
  <c r="DF50" i="1" s="1"/>
  <c r="DF51" i="1" s="1"/>
  <c r="DF52" i="1" s="1"/>
  <c r="DF53" i="1" s="1"/>
  <c r="DF54" i="1" s="1"/>
  <c r="DF55" i="1" s="1"/>
  <c r="DF56" i="1" s="1"/>
  <c r="DF57" i="1" s="1"/>
  <c r="DF58" i="1" s="1"/>
  <c r="DF59" i="1" s="1"/>
  <c r="DF60" i="1" s="1"/>
  <c r="DF61" i="1" s="1"/>
  <c r="DF62" i="1" s="1"/>
  <c r="DF63" i="1" s="1"/>
  <c r="DF64" i="1" s="1"/>
  <c r="DF65" i="1" s="1"/>
  <c r="DF66" i="1" s="1"/>
  <c r="DF67" i="1" s="1"/>
  <c r="DF68" i="1" s="1"/>
  <c r="DF69" i="1" s="1"/>
  <c r="DF70" i="1" s="1"/>
  <c r="DF71" i="1" s="1"/>
  <c r="DF72" i="1" s="1"/>
  <c r="DF73" i="1" s="1"/>
  <c r="DF74" i="1" s="1"/>
  <c r="DF75" i="1" s="1"/>
  <c r="DF76" i="1" s="1"/>
  <c r="DF77" i="1" s="1"/>
  <c r="DF78" i="1" s="1"/>
  <c r="DF79" i="1" s="1"/>
  <c r="DF80" i="1" s="1"/>
  <c r="DF81" i="1" s="1"/>
  <c r="DF82" i="1" s="1"/>
  <c r="DF83" i="1" s="1"/>
  <c r="DF84" i="1" s="1"/>
  <c r="DF85" i="1" s="1"/>
  <c r="DF86" i="1" s="1"/>
  <c r="DF87" i="1" s="1"/>
  <c r="DF88" i="1" s="1"/>
  <c r="DF89" i="1" s="1"/>
  <c r="DF90" i="1" s="1"/>
  <c r="DF91" i="1" s="1"/>
  <c r="DF92" i="1" s="1"/>
  <c r="DF93" i="1" s="1"/>
  <c r="DF94" i="1" s="1"/>
  <c r="DF95" i="1" s="1"/>
  <c r="DF96" i="1" s="1"/>
  <c r="DF97" i="1" s="1"/>
  <c r="DF98" i="1" s="1"/>
  <c r="DF99" i="1" s="1"/>
  <c r="DF100" i="1" s="1"/>
  <c r="DF101" i="1" s="1"/>
  <c r="DF102" i="1" s="1"/>
  <c r="DF103" i="1" s="1"/>
  <c r="DF104" i="1" s="1"/>
  <c r="DF105" i="1" s="1"/>
  <c r="DF106" i="1" s="1"/>
  <c r="DF107" i="1" s="1"/>
  <c r="DF108" i="1" s="1"/>
  <c r="DF109" i="1" s="1"/>
  <c r="DF110" i="1" s="1"/>
  <c r="DF111" i="1" s="1"/>
  <c r="DF112" i="1" s="1"/>
  <c r="DF113" i="1" s="1"/>
  <c r="DF114" i="1" s="1"/>
  <c r="DF115" i="1" s="1"/>
  <c r="DF116" i="1" s="1"/>
  <c r="DF117" i="1" s="1"/>
  <c r="DF118" i="1" s="1"/>
  <c r="DF119" i="1" s="1"/>
  <c r="DF120" i="1" s="1"/>
  <c r="DF121" i="1" s="1"/>
  <c r="DF122" i="1" s="1"/>
  <c r="DF123" i="1" s="1"/>
  <c r="DF124" i="1" s="1"/>
  <c r="DF125" i="1" s="1"/>
  <c r="DF126" i="1" s="1"/>
  <c r="DF127" i="1" s="1"/>
  <c r="DF128" i="1" s="1"/>
  <c r="DF129" i="1" s="1"/>
  <c r="DF130" i="1" s="1"/>
  <c r="DF131" i="1" s="1"/>
  <c r="DF132" i="1" s="1"/>
  <c r="DF133" i="1" s="1"/>
  <c r="DF134" i="1" s="1"/>
  <c r="DF135" i="1" s="1"/>
  <c r="DF136" i="1" s="1"/>
  <c r="DF137" i="1" s="1"/>
  <c r="DF138" i="1" s="1"/>
  <c r="DF139" i="1" s="1"/>
  <c r="DF140" i="1" s="1"/>
  <c r="DF141" i="1" s="1"/>
  <c r="DF142" i="1" s="1"/>
  <c r="DF143" i="1" s="1"/>
  <c r="DF144" i="1" s="1"/>
  <c r="DF145" i="1" s="1"/>
  <c r="DF146" i="1" s="1"/>
  <c r="DF147" i="1" s="1"/>
  <c r="DF148" i="1" s="1"/>
  <c r="DF149" i="1" s="1"/>
  <c r="DF150" i="1" s="1"/>
  <c r="DF151" i="1" s="1"/>
  <c r="DF152" i="1" s="1"/>
  <c r="DF153" i="1" s="1"/>
  <c r="DF154" i="1" s="1"/>
  <c r="DF155" i="1" s="1"/>
  <c r="DF156" i="1" s="1"/>
  <c r="DF157" i="1" s="1"/>
  <c r="DF158" i="1" s="1"/>
  <c r="DF159" i="1" s="1"/>
  <c r="DF160" i="1" s="1"/>
  <c r="DF161" i="1" s="1"/>
  <c r="DF162" i="1" s="1"/>
  <c r="DF163" i="1" s="1"/>
  <c r="DF164" i="1" s="1"/>
  <c r="DF165" i="1" s="1"/>
  <c r="DF166" i="1" s="1"/>
  <c r="DF167" i="1" s="1"/>
  <c r="DF168" i="1" s="1"/>
  <c r="DF169" i="1" s="1"/>
  <c r="DF170" i="1" s="1"/>
  <c r="DF171" i="1" s="1"/>
  <c r="DF172" i="1" s="1"/>
  <c r="DF173" i="1" s="1"/>
  <c r="DF174" i="1" s="1"/>
  <c r="DF175" i="1" s="1"/>
  <c r="DF176" i="1" s="1"/>
  <c r="DF177" i="1" s="1"/>
  <c r="DF178" i="1" s="1"/>
  <c r="DF179" i="1" s="1"/>
  <c r="DF180" i="1" s="1"/>
  <c r="DF181" i="1" s="1"/>
  <c r="DF182" i="1" s="1"/>
  <c r="DF183" i="1" s="1"/>
  <c r="DF184" i="1" s="1"/>
  <c r="DF185" i="1" s="1"/>
  <c r="DF186" i="1" s="1"/>
  <c r="DF187" i="1" s="1"/>
  <c r="DF188" i="1" s="1"/>
  <c r="DF189" i="1" s="1"/>
  <c r="DF190" i="1" s="1"/>
  <c r="DF191" i="1" s="1"/>
  <c r="DF192" i="1" s="1"/>
  <c r="DF193" i="1" s="1"/>
  <c r="DF194" i="1" s="1"/>
  <c r="DF195" i="1" s="1"/>
  <c r="DF196" i="1" s="1"/>
  <c r="DF197" i="1" s="1"/>
  <c r="DF198" i="1" s="1"/>
  <c r="DF199" i="1" s="1"/>
  <c r="DF200" i="1" s="1"/>
  <c r="DF201" i="1" s="1"/>
  <c r="DF202" i="1" s="1"/>
  <c r="DF203" i="1" s="1"/>
  <c r="DF204" i="1" s="1"/>
  <c r="DF205" i="1" s="1"/>
  <c r="DF206" i="1" s="1"/>
  <c r="DF207" i="1" s="1"/>
  <c r="DF208" i="1" s="1"/>
  <c r="DF209" i="1" s="1"/>
  <c r="DF210" i="1" s="1"/>
  <c r="DF211" i="1" s="1"/>
  <c r="DF212" i="1" s="1"/>
  <c r="DF213" i="1" s="1"/>
  <c r="DF214" i="1" s="1"/>
  <c r="DF215" i="1" s="1"/>
  <c r="DF216" i="1" s="1"/>
  <c r="DF217" i="1" s="1"/>
  <c r="DF218" i="1" s="1"/>
  <c r="DF219" i="1" s="1"/>
  <c r="DF220" i="1" s="1"/>
  <c r="DF221" i="1" s="1"/>
  <c r="DH3" i="1"/>
  <c r="DH4" i="1" s="1"/>
  <c r="DH5" i="1" s="1"/>
  <c r="DH6" i="1" s="1"/>
  <c r="DH7" i="1" s="1"/>
  <c r="DH8" i="1" s="1"/>
  <c r="DH9" i="1" s="1"/>
  <c r="DH10" i="1" s="1"/>
  <c r="DH11" i="1" s="1"/>
  <c r="DH12" i="1" s="1"/>
  <c r="DH13" i="1" s="1"/>
  <c r="DH14" i="1" s="1"/>
  <c r="DH15" i="1" s="1"/>
  <c r="DH16" i="1" s="1"/>
  <c r="DH17" i="1" s="1"/>
  <c r="DH18" i="1" s="1"/>
  <c r="DH19" i="1" s="1"/>
  <c r="DH20" i="1" s="1"/>
  <c r="DH21" i="1" s="1"/>
  <c r="DH22" i="1" s="1"/>
  <c r="DH23" i="1" s="1"/>
  <c r="DH24" i="1" s="1"/>
  <c r="DH25" i="1" s="1"/>
  <c r="DH26" i="1" s="1"/>
  <c r="DH27" i="1" s="1"/>
  <c r="DH28" i="1" s="1"/>
  <c r="DH29" i="1" s="1"/>
  <c r="DH30" i="1" s="1"/>
  <c r="DH31" i="1" s="1"/>
  <c r="DH32" i="1" s="1"/>
  <c r="DH33" i="1" s="1"/>
  <c r="DH34" i="1" s="1"/>
  <c r="DH35" i="1" s="1"/>
  <c r="DH36" i="1" s="1"/>
  <c r="DH37" i="1" s="1"/>
  <c r="DH38" i="1" s="1"/>
  <c r="DH39" i="1" s="1"/>
  <c r="DH40" i="1" s="1"/>
  <c r="DH41" i="1" s="1"/>
  <c r="DH42" i="1" s="1"/>
  <c r="DH43" i="1" s="1"/>
  <c r="DH44" i="1" s="1"/>
  <c r="DH45" i="1" s="1"/>
  <c r="DH46" i="1" s="1"/>
  <c r="DH47" i="1" s="1"/>
  <c r="DH48" i="1" s="1"/>
  <c r="DH49" i="1" s="1"/>
  <c r="DH50" i="1" s="1"/>
  <c r="DH51" i="1" s="1"/>
  <c r="DH52" i="1" s="1"/>
  <c r="DH53" i="1" s="1"/>
  <c r="DH54" i="1" s="1"/>
  <c r="DH55" i="1" s="1"/>
  <c r="DH56" i="1" s="1"/>
  <c r="DH57" i="1" s="1"/>
  <c r="DH58" i="1" s="1"/>
  <c r="DH59" i="1" s="1"/>
  <c r="DH60" i="1" s="1"/>
  <c r="DH61" i="1" s="1"/>
  <c r="DH62" i="1" s="1"/>
  <c r="DH63" i="1" s="1"/>
  <c r="DH64" i="1" s="1"/>
  <c r="DH65" i="1" s="1"/>
  <c r="DH66" i="1" s="1"/>
  <c r="DH67" i="1" s="1"/>
  <c r="DH68" i="1" s="1"/>
  <c r="DH69" i="1" s="1"/>
  <c r="DH70" i="1" s="1"/>
  <c r="DH71" i="1" s="1"/>
  <c r="DH72" i="1" s="1"/>
  <c r="DH73" i="1" s="1"/>
  <c r="DH74" i="1" s="1"/>
  <c r="DH75" i="1" s="1"/>
  <c r="DH76" i="1" s="1"/>
  <c r="DH77" i="1" s="1"/>
  <c r="DH78" i="1" s="1"/>
  <c r="DH79" i="1" s="1"/>
  <c r="DH80" i="1" s="1"/>
  <c r="DH81" i="1" s="1"/>
  <c r="DH82" i="1" s="1"/>
  <c r="DH83" i="1" s="1"/>
  <c r="DH84" i="1" s="1"/>
  <c r="DH85" i="1" s="1"/>
  <c r="DH86" i="1" s="1"/>
  <c r="DH87" i="1" s="1"/>
  <c r="DH88" i="1" s="1"/>
  <c r="DH89" i="1" s="1"/>
  <c r="DH90" i="1" s="1"/>
  <c r="DH91" i="1" s="1"/>
  <c r="DH92" i="1" s="1"/>
  <c r="DH93" i="1" s="1"/>
  <c r="DH94" i="1" s="1"/>
  <c r="DH95" i="1" s="1"/>
  <c r="DH96" i="1" s="1"/>
  <c r="DH97" i="1" s="1"/>
  <c r="DH98" i="1" s="1"/>
  <c r="DH99" i="1" s="1"/>
  <c r="DH100" i="1" s="1"/>
  <c r="DH101" i="1" s="1"/>
  <c r="DH102" i="1" s="1"/>
  <c r="DH103" i="1" s="1"/>
  <c r="DH104" i="1" s="1"/>
  <c r="DH105" i="1" s="1"/>
  <c r="DH106" i="1" s="1"/>
  <c r="DH107" i="1" s="1"/>
  <c r="DH108" i="1" s="1"/>
  <c r="DH109" i="1" s="1"/>
  <c r="DH110" i="1" s="1"/>
  <c r="DH111" i="1" s="1"/>
  <c r="DH112" i="1" s="1"/>
  <c r="DH113" i="1" s="1"/>
  <c r="DH114" i="1" s="1"/>
  <c r="DH115" i="1" s="1"/>
  <c r="DH116" i="1" s="1"/>
  <c r="DH117" i="1" s="1"/>
  <c r="DH118" i="1" s="1"/>
  <c r="DH119" i="1" s="1"/>
  <c r="DH120" i="1" s="1"/>
  <c r="DH121" i="1" s="1"/>
  <c r="DH122" i="1" s="1"/>
  <c r="DH123" i="1" s="1"/>
  <c r="DH124" i="1" s="1"/>
  <c r="DH125" i="1" s="1"/>
  <c r="DH126" i="1" s="1"/>
  <c r="DH127" i="1" s="1"/>
  <c r="DH128" i="1" s="1"/>
  <c r="DH129" i="1" s="1"/>
  <c r="DH130" i="1" s="1"/>
  <c r="DH131" i="1" s="1"/>
  <c r="DH132" i="1" s="1"/>
  <c r="DH133" i="1" s="1"/>
  <c r="DH134" i="1" s="1"/>
  <c r="DH135" i="1" s="1"/>
  <c r="DH136" i="1" s="1"/>
  <c r="DH137" i="1" s="1"/>
  <c r="DH138" i="1" s="1"/>
  <c r="DH139" i="1" s="1"/>
  <c r="DH140" i="1" s="1"/>
  <c r="DH141" i="1" s="1"/>
  <c r="DH142" i="1" s="1"/>
  <c r="DH143" i="1" s="1"/>
  <c r="DH144" i="1" s="1"/>
  <c r="DH145" i="1" s="1"/>
  <c r="DH146" i="1" s="1"/>
  <c r="DH147" i="1" s="1"/>
  <c r="DH148" i="1" s="1"/>
  <c r="DH149" i="1" s="1"/>
  <c r="DH150" i="1" s="1"/>
  <c r="DH151" i="1" s="1"/>
  <c r="DH152" i="1" s="1"/>
  <c r="DH153" i="1" s="1"/>
  <c r="DH154" i="1" s="1"/>
  <c r="DH155" i="1" s="1"/>
  <c r="DH156" i="1" s="1"/>
  <c r="DH157" i="1" s="1"/>
  <c r="DH158" i="1" s="1"/>
  <c r="DH159" i="1" s="1"/>
  <c r="DH160" i="1" s="1"/>
  <c r="DH161" i="1" s="1"/>
  <c r="DH162" i="1" s="1"/>
  <c r="DH163" i="1" s="1"/>
  <c r="DH164" i="1" s="1"/>
  <c r="DH165" i="1" s="1"/>
  <c r="DH166" i="1" s="1"/>
  <c r="DH167" i="1" s="1"/>
  <c r="DH168" i="1" s="1"/>
  <c r="DH169" i="1" s="1"/>
  <c r="DH170" i="1" s="1"/>
  <c r="DH171" i="1" s="1"/>
  <c r="DH172" i="1" s="1"/>
  <c r="DH173" i="1" s="1"/>
  <c r="DH174" i="1" s="1"/>
  <c r="DH175" i="1" s="1"/>
  <c r="DH176" i="1" s="1"/>
  <c r="DH177" i="1" s="1"/>
  <c r="DH178" i="1" s="1"/>
  <c r="DH179" i="1" s="1"/>
  <c r="DH180" i="1" s="1"/>
  <c r="DH181" i="1" s="1"/>
  <c r="DH182" i="1" s="1"/>
  <c r="DH183" i="1" s="1"/>
  <c r="DH184" i="1" s="1"/>
  <c r="DH185" i="1" s="1"/>
  <c r="DH186" i="1" s="1"/>
  <c r="DH187" i="1" s="1"/>
  <c r="DH188" i="1" s="1"/>
  <c r="DH189" i="1" s="1"/>
  <c r="DH190" i="1" s="1"/>
  <c r="DH191" i="1" s="1"/>
  <c r="DH192" i="1" s="1"/>
  <c r="DH193" i="1" s="1"/>
  <c r="DH194" i="1" s="1"/>
  <c r="DH195" i="1" s="1"/>
  <c r="DH196" i="1" s="1"/>
  <c r="DH197" i="1" s="1"/>
  <c r="DH198" i="1" s="1"/>
  <c r="DH199" i="1" s="1"/>
  <c r="DH200" i="1" s="1"/>
  <c r="DH201" i="1" s="1"/>
  <c r="DH202" i="1" s="1"/>
  <c r="DH203" i="1" s="1"/>
  <c r="DH204" i="1" s="1"/>
  <c r="DH205" i="1" s="1"/>
  <c r="DH206" i="1" s="1"/>
  <c r="DH207" i="1" s="1"/>
  <c r="DH208" i="1" s="1"/>
  <c r="DH209" i="1" s="1"/>
  <c r="DH210" i="1" s="1"/>
  <c r="DH211" i="1" s="1"/>
  <c r="DH212" i="1" s="1"/>
  <c r="DH213" i="1" s="1"/>
  <c r="DH214" i="1" s="1"/>
  <c r="DH215" i="1" s="1"/>
  <c r="DH216" i="1" s="1"/>
  <c r="DH217" i="1" s="1"/>
  <c r="DH218" i="1" s="1"/>
  <c r="DH219" i="1" s="1"/>
  <c r="DH220" i="1" s="1"/>
  <c r="DH221" i="1" s="1"/>
</calcChain>
</file>

<file path=xl/sharedStrings.xml><?xml version="1.0" encoding="utf-8"?>
<sst xmlns="http://schemas.openxmlformats.org/spreadsheetml/2006/main" count="7864" uniqueCount="1620">
  <si>
    <t>no</t>
  </si>
  <si>
    <t>Crossing removed</t>
  </si>
  <si>
    <t>Field assessment</t>
  </si>
  <si>
    <t>No structure</t>
  </si>
  <si>
    <t>Barrier assessment</t>
  </si>
  <si>
    <t>Excluded structure</t>
  </si>
  <si>
    <t>Unknown</t>
  </si>
  <si>
    <t>None</t>
  </si>
  <si>
    <t>unnamed</t>
  </si>
  <si>
    <t>Lodgepole Creek</t>
  </si>
  <si>
    <t>http://a100.gov.bc.ca/pub/pscismap/imageViewer.do?assessmentId=198444</t>
  </si>
  <si>
    <t>Bridge on trail over unmapped stream.</t>
  </si>
  <si>
    <t>Passable</t>
  </si>
  <si>
    <t>Stream crossing - OBS</t>
  </si>
  <si>
    <t>Trail</t>
  </si>
  <si>
    <t>Tributary to Lizard Creek</t>
  </si>
  <si>
    <t>Deactivated road, no crossing</t>
  </si>
  <si>
    <t>Informal assessment</t>
  </si>
  <si>
    <t>Spur off CP 616</t>
  </si>
  <si>
    <t>Tributary to Elk River</t>
  </si>
  <si>
    <t>https://a100.gov.bc.ca/pub/pscismap/imageViewer.do?assessmentId=201314</t>
  </si>
  <si>
    <t>Crossing deactivated, road inactive</t>
  </si>
  <si>
    <t>Flathead spur</t>
  </si>
  <si>
    <t>Michel Creek</t>
  </si>
  <si>
    <t>https://www.newgraphenvironment.com/fish_passage_elk_2020_reporting/appendix---62516---tributary-to-lizard-creek.html</t>
  </si>
  <si>
    <t>Area was surveyed as part of habitat confirmation for 50153. Crossing no longer exists</t>
  </si>
  <si>
    <t>Unnamed</t>
  </si>
  <si>
    <t>https://www.newgraphenvironment.com/fish_passage_elk_2021_reporting/results-and-discussion.html</t>
  </si>
  <si>
    <t>Located off channel. Not a barrier</t>
  </si>
  <si>
    <t>Dam</t>
  </si>
  <si>
    <t>n/a</t>
  </si>
  <si>
    <t>Boivin Creek</t>
  </si>
  <si>
    <t>da28f1e5-4fb1-43cd-ac85-123d6735677e</t>
  </si>
  <si>
    <t xml:space="preserve">assmt_funding_project_number: BCFP-003_phase2
assmt_funding_project: Elk River Watershed Group Fish Passage Assessments - Phase 2
assmt_project_id: 3921
assmt_funding_source: OTHER
assmt_responsible_party_name: CANADIAN WILDLIFE FEDERATION
assmt_consultant_name: IRVINE
assmt_date: 2020-09-22
stream_crossing_id: 50155
habconf_assmt_id: 198636
habconf_id: 1381
external_crossing_reference: Lizard04
crew_members: KP, AI
utm_zone: 11
utm_easting: 635113
utm_northing: 5484261
location_confidence_ind: Y
stream_name: Tributary to Lizard Creek
road_name: Island Lake Lodge Road
road_km_mark: 3.6
road_tenure: MoTi recreation
habconf_proceed_ind: Y
habconf_habitat_value_code: MEDIUM
habconf_habitat_value_desc: Medium habitat value
habconf_habitat_value_rtle: Frequent areas of gravels suitable for resident westslope cutthrout trout spawning and pools to 40cm deep associated with small and large woody debris. 
habconf_verified_habitat_ind: Y
habconf_verified_habitat_len: 1800
habconf_comments: Fish sampling indicates westslope cutthrout trout fry densities lower upstream than downstream.
habconf_ecocat_url: http://a100.gov.bc.ca/pub/acat/public/advancedSearch.do?keywords=[PSCIS3921]&amp;searchKeyType=searchAll&amp;sortColumn=title
habconf_image_view_url: http://a100.gov.bc.ca/pub/pscismap/imageViewer.do?habitatConfirmationId=1381
current_pscis_status: ASSESSED
current_crossing_type_code: CBS
current_crossing_type_desc: Closed Bottom Structure
current_crossing_subtype_code: ROUND
current_crossing_subtype_desc: Round Culvert
current_barrier_result_code: BARRIER
current_barrier_description: Barrier
feature_code: NULL
objectid: 51723610
</t>
  </si>
  <si>
    <t>Unmapped stream so no modeled stream but WCT fry present, with higher densities downstream than upstream. Suitable spawning and rearing habitat present.</t>
  </si>
  <si>
    <t>Engage with partners</t>
  </si>
  <si>
    <t>Medium</t>
  </si>
  <si>
    <t>Habitat confirmation</t>
  </si>
  <si>
    <t>Data-deficient barrier</t>
  </si>
  <si>
    <t>Stream crossing - CBS</t>
  </si>
  <si>
    <t>Island Lake Lodge Road</t>
  </si>
  <si>
    <t>https://a100.gov.bc.ca/pub/pscismap/imageViewer.do?assessmentId=198825</t>
  </si>
  <si>
    <t>No crossing</t>
  </si>
  <si>
    <t>Tributary To Harmer Creek</t>
  </si>
  <si>
    <t>https://a100.gov.bc.ca/pub/pscismap/imageViewer.do?assessmentId=198809</t>
  </si>
  <si>
    <t>No issues</t>
  </si>
  <si>
    <t>Bridge has been removed</t>
  </si>
  <si>
    <t>Other</t>
  </si>
  <si>
    <t>Tributary to Lodgepole Creek</t>
  </si>
  <si>
    <t>http://a100.gov.bc.ca/pub/pscismap/imageViewer.do?assessmentId=198476</t>
  </si>
  <si>
    <t>No modeled habitat, noted as low quality habitat in field</t>
  </si>
  <si>
    <t>Low</t>
  </si>
  <si>
    <t>No key upstream habitat</t>
  </si>
  <si>
    <t>Fernie ski hill</t>
  </si>
  <si>
    <t>https://a100.gov.bc.ca/pub/pscismap/imageViewer.do?assessmentId=198858</t>
  </si>
  <si>
    <t>Road not detectable in field</t>
  </si>
  <si>
    <t>Morrissey Creek</t>
  </si>
  <si>
    <t>https://a100.gov.bc.ca/pub/pscismap/imageViewer.do?assessmentId=112516</t>
  </si>
  <si>
    <t>Improperly mapped on mainstem. Located on tributary with limited habitat value.</t>
  </si>
  <si>
    <t>Limited habitat value</t>
  </si>
  <si>
    <t>Local knowledge</t>
  </si>
  <si>
    <t>CanFor/NWP Coal</t>
  </si>
  <si>
    <t>Alexander Road</t>
  </si>
  <si>
    <t>Tributary to Alexander Creek</t>
  </si>
  <si>
    <t>http://a100.gov.bc.ca/pub/pscismap/imageViewer.do?habitatConfirmationId=1368</t>
  </si>
  <si>
    <t>Unmapped stream may be diversion from upstream micro-hydro facility.</t>
  </si>
  <si>
    <t xml:space="preserve">Unmapped stream with med quality habitat. </t>
  </si>
  <si>
    <t>Confirmed via literature: Cope et al. (2016)</t>
  </si>
  <si>
    <t>Ford</t>
  </si>
  <si>
    <t>Teck</t>
  </si>
  <si>
    <t>Stream crossing - Ford</t>
  </si>
  <si>
    <t>Fording River</t>
  </si>
  <si>
    <t>https://www.newgraphenvironment.com/fish_passage_elk_2020_reporting/appendix---50185---tributary-to-morrisey-creek.html</t>
  </si>
  <si>
    <t>Stream was walked from mouth to 50185 upstream. No structure found.</t>
  </si>
  <si>
    <t>Tributary to Morrissey Creek</t>
  </si>
  <si>
    <t>Crossing does not exist</t>
  </si>
  <si>
    <t>Tributary to Wigwam River</t>
  </si>
  <si>
    <t>Dry area with no channel</t>
  </si>
  <si>
    <t>No crossing, no channel</t>
  </si>
  <si>
    <t>No structure and key upstream habitat</t>
  </si>
  <si>
    <t>https://a100.gov.bc.ca/pub/pscismap/imageViewer.do?assessmentId=198881</t>
  </si>
  <si>
    <t>Wigwam Lookout Trail</t>
  </si>
  <si>
    <t>http://a100.gov.bc.ca/pub/pscismap/imageViewer.do?assessmentId=198475</t>
  </si>
  <si>
    <t>Confirmed to not exist by BC Parks. Recreational trail erroneously mapped in Digital Road Atlas</t>
  </si>
  <si>
    <t>trail</t>
  </si>
  <si>
    <t>Tributary to Cadorna Creek</t>
  </si>
  <si>
    <t>http://a100.gov.bc.ca/pub/pscismap/imageViewer.do?assessmentId=198449</t>
  </si>
  <si>
    <t>Passable and dry vegetated channel with unlikely fish values. Unmapped stream.</t>
  </si>
  <si>
    <t>Hill Road</t>
  </si>
  <si>
    <t>Recreational trail erroneously mapped in Digital Road Atlas</t>
  </si>
  <si>
    <t>Abruzzi Creek</t>
  </si>
  <si>
    <t>1004603948;1004604105;1004604147;1004605629;1004606581;1004607470;1004607598</t>
  </si>
  <si>
    <t>1004604098;1004604461;1004606108;1004604469;1004605053;1004604566;1004605000;1004604481;11e03b9a-0a3f-4022-b534-7e3de9eece2e</t>
  </si>
  <si>
    <t>Line Creek</t>
  </si>
  <si>
    <t>ELKR</t>
  </si>
  <si>
    <t>300.625474.584724.501797.033182.655440</t>
  </si>
  <si>
    <t>300.625474.584724.501797.033182</t>
  </si>
  <si>
    <t>PASSABLE</t>
  </si>
  <si>
    <t>OBS</t>
  </si>
  <si>
    <t>ROAD, RESOURCE/OTHER</t>
  </si>
  <si>
    <t>MODELLED CROSSINGS</t>
  </si>
  <si>
    <t>1004604461;1004606108;1004604469;1004605053;1004604566;1004605000;1004604481;11e03b9a-0a3f-4022-b534-7e3de9eece2e</t>
  </si>
  <si>
    <t>300.625474.584724.501797.033182.640616</t>
  </si>
  <si>
    <t>POTENTIAL</t>
  </si>
  <si>
    <t>CBS</t>
  </si>
  <si>
    <t>1004603948;1004604098;1004604105;1004604147;1004605629;1004606581;1004607470;1004607598</t>
  </si>
  <si>
    <t>1004606108;1004604469;1004605053;1004604566;1004605000;1004604481;11e03b9a-0a3f-4022-b534-7e3de9eece2e</t>
  </si>
  <si>
    <t>300.625474.584724.501797.033182.601017</t>
  </si>
  <si>
    <t>1004601219;197557;1004602324;1024734829;1004602344;1004600326;11e03b9a-0a3f-4022-b534-7e3de9eece2e</t>
  </si>
  <si>
    <t>North Littlemoor Creek</t>
  </si>
  <si>
    <t>300.625474.584724.451535.403402.090273</t>
  </si>
  <si>
    <t>Small stream with good flow, EB known upstream. Fenced private land upstream and downstream. Stream measurements estimated due to fenced private land.  Large outlet drop.</t>
  </si>
  <si>
    <t>Highway 43</t>
  </si>
  <si>
    <t>ROUND</t>
  </si>
  <si>
    <t>ASSESSED</t>
  </si>
  <si>
    <t>http://a100.gov.bc.ca/pub/pscismap/imageViewer.do?assessmentId=198437</t>
  </si>
  <si>
    <t>EB known upstream and downstream</t>
  </si>
  <si>
    <t xml:space="preserve">No modeled upstream habitat but noted as med quality in field. </t>
  </si>
  <si>
    <t>Hwy 43</t>
  </si>
  <si>
    <t>BARRIER</t>
  </si>
  <si>
    <t>ROAD, DEMOGRAPHIC</t>
  </si>
  <si>
    <t>PSCIS</t>
  </si>
  <si>
    <t>1004603948;1004604098;1004604105;1004604147;1004604461;1004605629;1004606581;1004607470;1004607598</t>
  </si>
  <si>
    <t>1004604469;1004605053;1004604566;1004605000;1004604481;11e03b9a-0a3f-4022-b534-7e3de9eece2e</t>
  </si>
  <si>
    <t>1004601354;1024734840;1004601360;1004600330;1004606751;11e03b9a-0a3f-4022-b534-7e3de9eece2e</t>
  </si>
  <si>
    <t>Whiting Creek</t>
  </si>
  <si>
    <t>300.625474.584724.427766.030001.390415</t>
  </si>
  <si>
    <t>300.625474.584724.427766.030001</t>
  </si>
  <si>
    <t>No access up or downstream due to fenced private land. Stream slope estimated. Water pipe intake at the outlet.</t>
  </si>
  <si>
    <t xml:space="preserve">http://a100.gov.bc.ca/pub/pscismap/imageViewer.do?assessmentId=198462 </t>
  </si>
  <si>
    <t>Noted as low quality habitat in field, no modeled habitat present</t>
  </si>
  <si>
    <t>Highway 32</t>
  </si>
  <si>
    <t>1004601220;197529;1024734829;1004602344;1004600326;11e03b9a-0a3f-4022-b534-7e3de9eece2e</t>
  </si>
  <si>
    <t>Littlemoor Creek</t>
  </si>
  <si>
    <t>300.625474.584724.451535.403402</t>
  </si>
  <si>
    <t>Culvert has extension with corner, small stream with good flow. WCT and EB documented upstream. Gravels present suitable for WCT and EB spawning.</t>
  </si>
  <si>
    <t>http://a100.gov.bc.ca/pub/pscismap/imageViewer.do?assessmentId=198438</t>
  </si>
  <si>
    <t>No modeled habitat but noted as med quality in field, also noted as having WCT and EB documented upstream</t>
  </si>
  <si>
    <t>Littlemore Creek</t>
  </si>
  <si>
    <t>1004603948;1004604098;1004604105;1004604147;1004604461;1004605629;1004606108;1004606581;1004607470;1004607598</t>
  </si>
  <si>
    <t>1004605053;1004604566;1004605000;1004604481;11e03b9a-0a3f-4022-b534-7e3de9eece2e</t>
  </si>
  <si>
    <t>300.625474.584724.501797.033182.537760</t>
  </si>
  <si>
    <t>28c9e005-3e69-42ce-9e74-39c8987a8691;197835;197834;197833;11e03b9a-0a3f-4022-b534-7e3de9eece2e</t>
  </si>
  <si>
    <t>Hosmer Creek</t>
  </si>
  <si>
    <t>300.625474.584724.318577.067207</t>
  </si>
  <si>
    <t>300.625474.584724.318577</t>
  </si>
  <si>
    <t>Embedded for approxmately 8m from the inlet.  Small water supply dam located upstream of culvert ~45m.  Structure is ~1m high. 17:00</t>
  </si>
  <si>
    <t>https://a100.gov.bc.ca/pub/pscismap/imageViewer.do?assessmentId=198886</t>
  </si>
  <si>
    <t>High quality habitat with past Yellowstone CT stocking. Check with WG on next steps</t>
  </si>
  <si>
    <t>High</t>
  </si>
  <si>
    <t>197574;1004600134;197573;197579;11e03b9a-0a3f-4022-b534-7e3de9eece2e</t>
  </si>
  <si>
    <t>300.625474.584724.232027.140468</t>
  </si>
  <si>
    <t>300.625474.584724.232027</t>
  </si>
  <si>
    <t>Stream gradient immediately upstream of crossing is near 20%. Crossing is last of a series within close proximity to each other. The crossing downstream of this one is near 100m long. Likely more crossings upstream on ski hill infrastructure and access roads. Recent heavy rains.</t>
  </si>
  <si>
    <t>http://a100.gov.bc.ca/pub/pscismap/imageViewer.do?assessmentId=198477</t>
  </si>
  <si>
    <t>1004606808;1200000036;199903;199904;11e03b9a-0a3f-4022-b534-7e3de9eece2e</t>
  </si>
  <si>
    <t>300.625474.584724.218710.391432.066661</t>
  </si>
  <si>
    <t>300.625474.584724.218710.391432</t>
  </si>
  <si>
    <t>2 barrels, 0.90 and 1.1m. Debris rack on inlet. Stream dry at time of survey.</t>
  </si>
  <si>
    <t>Cokato Road</t>
  </si>
  <si>
    <t>http://a100.gov.bc.ca/pub/pscismap/imageViewer.do?assessmentId=198469</t>
  </si>
  <si>
    <t>Noted as low quality habitat (dry), no modeled habitat upstream</t>
  </si>
  <si>
    <t>Cokato Rd</t>
  </si>
  <si>
    <t>1004602324;1024734829;1004602344;1004600326;11e03b9a-0a3f-4022-b534-7e3de9eece2e</t>
  </si>
  <si>
    <t>Stream slope estimated due to fenced private land.</t>
  </si>
  <si>
    <t>Lower Elk Valley Road</t>
  </si>
  <si>
    <t>http://a100.gov.bc.ca/pub/pscismap/imageViewer.do?assessmentId=198457</t>
  </si>
  <si>
    <t xml:space="preserve">Noted in field as low quality habitat, no modeled habitat upstream. </t>
  </si>
  <si>
    <t>Lower Elk Valley Rd</t>
  </si>
  <si>
    <t>197550;1004600315;199903;199904;11e03b9a-0a3f-4022-b534-7e3de9eece2e</t>
  </si>
  <si>
    <t>Dry mostly vegetated channel. Not likely fish habitat.</t>
  </si>
  <si>
    <t>Robinson Road</t>
  </si>
  <si>
    <t>http://a100.gov.bc.ca/pub/pscismap/imageViewer.do?assessmentId=198448</t>
  </si>
  <si>
    <t>Dry, mostly vegetated channel. No modeled habitat</t>
  </si>
  <si>
    <t>Robinson Rd</t>
  </si>
  <si>
    <t>Dry vegetated channel. Not likely fish habitat.</t>
  </si>
  <si>
    <t>Railway</t>
  </si>
  <si>
    <t>http://a100.gov.bc.ca/pub/pscismap/imageViewer.do?assessmentId=198447</t>
  </si>
  <si>
    <t>No modeled habitat, confirmed low quality in field</t>
  </si>
  <si>
    <t>Passable structure, dry vegetated channel</t>
  </si>
  <si>
    <t>RAIL</t>
  </si>
  <si>
    <t>Vegetated channel. Not likely fish habitat.</t>
  </si>
  <si>
    <t>McGiverin Road</t>
  </si>
  <si>
    <t>http://a100.gov.bc.ca/pub/pscismap/imageViewer.do?assessmentId=198446</t>
  </si>
  <si>
    <t>No modeled habitat</t>
  </si>
  <si>
    <t>Noted in field as vegetated channel, unlikely to be fish habitat.</t>
  </si>
  <si>
    <t>McGiverin Rd</t>
  </si>
  <si>
    <t>1004603948;1004604098;1004604105;1004604147;1004604461;1004604469;1004605629;1004606108;1004606581;1004607470;1004607598</t>
  </si>
  <si>
    <t>1004604566;1004605000;1004604481;11e03b9a-0a3f-4022-b534-7e3de9eece2e</t>
  </si>
  <si>
    <t>e86b513c-3dce-4b4a-a49e-e86e4dac935e;98a6d14e-ea75-446a-80e5-8709bf2eb8e9;197542;11e03b9a-0a3f-4022-b534-7e3de9eece2e</t>
  </si>
  <si>
    <t>Dock Creek</t>
  </si>
  <si>
    <t>300.625474.584724.287942.300253</t>
  </si>
  <si>
    <t>Small stream with some flow present.  Some gravels.</t>
  </si>
  <si>
    <t>Tributary to Hartley Creek</t>
  </si>
  <si>
    <t>Hartley Lake Rd</t>
  </si>
  <si>
    <t>http://a100.gov.bc.ca/pub/pscismap/imageViewer.do?assessmentId=198623</t>
  </si>
  <si>
    <t>No modeled habitat upstream, noted as low quality habitat in field</t>
  </si>
  <si>
    <t>Hartley Lake Road</t>
  </si>
  <si>
    <t>Hartley Creek Rd</t>
  </si>
  <si>
    <t>Hartley Creek</t>
  </si>
  <si>
    <t>300.625474.584724.287942</t>
  </si>
  <si>
    <t>Old train bridge unmodelled.  Private land access point.</t>
  </si>
  <si>
    <t>BRIDGE</t>
  </si>
  <si>
    <t>300.625474.584724.287942.429406</t>
  </si>
  <si>
    <t>Channel width 3.6. Gravel substrate with cobbles.</t>
  </si>
  <si>
    <t>http://a100.gov.bc.ca/pub/pscismap/imageViewer.do?assessmentId=198621</t>
  </si>
  <si>
    <t>Bridge</t>
  </si>
  <si>
    <t>300.625474.584724.287942.472196</t>
  </si>
  <si>
    <t>Dry at time of survey.  Appears to be dredged.</t>
  </si>
  <si>
    <t>http://a100.gov.bc.ca/pub/pscismap/imageViewer.do?assessmentId=198620</t>
  </si>
  <si>
    <t>No modeled habitat, noted as low quality habitat in field (dry)</t>
  </si>
  <si>
    <t>1004600134;197573;197579;11e03b9a-0a3f-4022-b534-7e3de9eece2e</t>
  </si>
  <si>
    <t>Debris guard on inlet. Unable to see through the culvert to other end. Highly manipulated banks, drains large parking area and ski hill. Steep with placed rocks (rip rap) in spots upstream. Stream goes under large turn around, paved area. Culvert likely &amp;gt;1 piece with slight angle. Armoured banks downstream, lots of sediment (sand) form pavement and parking area.</t>
  </si>
  <si>
    <t>http://a100.gov.bc.ca/pub/pscismap/imageViewer.do?assessmentId=198474</t>
  </si>
  <si>
    <t>Noted as low quality habitat in field, no modeled habitat</t>
  </si>
  <si>
    <t>1024734812;197556;1004600326;11e03b9a-0a3f-4022-b534-7e3de9eece2e</t>
  </si>
  <si>
    <t>Hollow Creek</t>
  </si>
  <si>
    <t>300.625474.584724.451535.208257</t>
  </si>
  <si>
    <t>No access up or downstream due to fenced private land. Stream slope estimated.</t>
  </si>
  <si>
    <t>http://a100.gov.bc.ca/pub/pscismap/imageViewer.do?assessmentId=198461</t>
  </si>
  <si>
    <t>Noted as low quality habitat, no modeled habitat present</t>
  </si>
  <si>
    <t>1004600315;199903;199904;11e03b9a-0a3f-4022-b534-7e3de9eece2e</t>
  </si>
  <si>
    <t>Dry, mostly vegetated channel. Not likely fish habitat. Two pipes, one buried by fill. Inlet elevated resulting in small are of wetland vegetation upstream.</t>
  </si>
  <si>
    <t>Driveway</t>
  </si>
  <si>
    <t>http://a100.gov.bc.ca/pub/pscismap/imageViewer.do?assessmentId=198450</t>
  </si>
  <si>
    <t>Dry, mostly vegetated channel, unlikely fish habitat. Unmapped stream.</t>
  </si>
  <si>
    <t>Private</t>
  </si>
  <si>
    <t>1024734829;1004602344;1004600326;11e03b9a-0a3f-4022-b534-7e3de9eece2e</t>
  </si>
  <si>
    <t>Flows through fenced private land upstream and downstream. Inlet has quite a bit of debris on it. Upstream is much steeper than downstream with gradient estimated at 12%. Small stream with good flow.</t>
  </si>
  <si>
    <t>http://a100.gov.bc.ca/pub/pscismap/imageViewer.do?assessmentId=198429</t>
  </si>
  <si>
    <t xml:space="preserve">Noted as low quality habitat in field; no modeled habitat upstream </t>
  </si>
  <si>
    <t>197559;197533;11e03b9a-0a3f-4022-b534-7e3de9eece2e</t>
  </si>
  <si>
    <t>BrÃ»lÃ© Creek</t>
  </si>
  <si>
    <t>300.625474.584724.507380.183340</t>
  </si>
  <si>
    <t>300.625474.584724.507380</t>
  </si>
  <si>
    <t>1004603948;1004604098;1004604105;1004604147;1004604461;1004604469;1004605053;1004605629;1004606108;1004606581;1004607470;1004607598</t>
  </si>
  <si>
    <t>1004605000;1004604481;11e03b9a-0a3f-4022-b534-7e3de9eece2e</t>
  </si>
  <si>
    <t>300.625474.584724.501797.033182.488309</t>
  </si>
  <si>
    <t>199903;199904;11e03b9a-0a3f-4022-b534-7e3de9eece2e</t>
  </si>
  <si>
    <t>Cokato Creek</t>
  </si>
  <si>
    <t>300.625474.584724.218710</t>
  </si>
  <si>
    <t>Ephemeral stream, otherwise medium habitat value based on overhanging vegetation and gravels.</t>
  </si>
  <si>
    <t>http://a100.gov.bc.ca/pub/pscismap/imageViewer.do?assessmentId=201317</t>
  </si>
  <si>
    <t>Passable CBS, low quality habitat</t>
  </si>
  <si>
    <t>197834;197833;11e03b9a-0a3f-4022-b534-7e3de9eece2e</t>
  </si>
  <si>
    <t>Adjacent landowner reports that this crossing was a bridge ~50 years ago and that the culvert is known to overflow during floods.  Several 1m bolulders are lodge approximately 4m inside of the the pipe. 16:20</t>
  </si>
  <si>
    <t>Stephenson Road</t>
  </si>
  <si>
    <t>http://a100.gov.bc.ca/pub/pscismap/imageViewer.do?assessmentId=198855</t>
  </si>
  <si>
    <t>Formerly a bridge. Current crossing not sufficient for flows</t>
  </si>
  <si>
    <t>Noted as medium quality habitat. Yellowstone CT records from former stocking. Check with WG on next steps</t>
  </si>
  <si>
    <t>Stephenson Rd</t>
  </si>
  <si>
    <t>1004603413;1004604114</t>
  </si>
  <si>
    <t>197825;197827;11e03b9a-0a3f-4022-b534-7e3de9eece2e</t>
  </si>
  <si>
    <t>Henretta Creek</t>
  </si>
  <si>
    <t>300.625474.584724.501797.805402</t>
  </si>
  <si>
    <t>Approximately 60m downstream of modelled location. 15:25</t>
  </si>
  <si>
    <t>FORD</t>
  </si>
  <si>
    <t>https://www.newgraphenvironment.com/fish_passage_elk_2021_reporting/appendix---phase-1-fish-passage-assessment-data-and-photos.html</t>
  </si>
  <si>
    <t>OTHER</t>
  </si>
  <si>
    <t>300.625474.584724.501797.805402.101993</t>
  </si>
  <si>
    <t>Transmission line crossing.  May have been a bridge historically. 14:49</t>
  </si>
  <si>
    <t>https://a100.gov.bc.ca/pub/pscismap/imageViewer.do?assessmentId=198844</t>
  </si>
  <si>
    <t>Located approx 60 m downstream of modeled location</t>
  </si>
  <si>
    <t>1004602344;1004600326;11e03b9a-0a3f-4022-b534-7e3de9eece2e</t>
  </si>
  <si>
    <t>Dalzell Creek</t>
  </si>
  <si>
    <t>300.625474.584724.451535</t>
  </si>
  <si>
    <t>Three barrels (.45m each). Two of the three have water flowing through them. Upstream and downstream channel widens out, slow flow through vegetated channel. Highly manipulated banks. Deep fine substrate on both sides of crossing. Upstream resembles a wetland. Crossing does not appear likely to be significantly impacting upstream fish passage for juvenile or adult WCT at time of survey.</t>
  </si>
  <si>
    <t>http://a100.gov.bc.ca/pub/pscismap/imageViewer.do?assessmentId=198458</t>
  </si>
  <si>
    <t>No modeled habitat but noted as medium quality in field.</t>
  </si>
  <si>
    <t>Scores as barrier but noted as unlikely to impede passage due to wetland-type habitat upstream</t>
  </si>
  <si>
    <t>300.625474.584724.507380.096307</t>
  </si>
  <si>
    <t>Deactivated. Ford. no issues.</t>
  </si>
  <si>
    <t>Brule Creek</t>
  </si>
  <si>
    <t>Spur</t>
  </si>
  <si>
    <t>http://a100.gov.bc.ca/pub/pscismap/imageViewer.do?assessmentId=198436</t>
  </si>
  <si>
    <t>Deactivated ford</t>
  </si>
  <si>
    <t>Spur off Brule 5000</t>
  </si>
  <si>
    <t>Pulled crossing, no issues, is now a ford.</t>
  </si>
  <si>
    <t>http://a100.gov.bc.ca/pub/pscismap/imageViewer.do?assessmentId=198435</t>
  </si>
  <si>
    <t>Culvert pulled, now a ford</t>
  </si>
  <si>
    <t>Culvert collapsing in the middle. Private resdience driveway. Wetland type habitat upstream. Culvert does not appear likely to be significantly impacting upstream fish passage for juvenile or adult WCT at time of survey.</t>
  </si>
  <si>
    <t>http://a100.gov.bc.ca/pub/pscismap/imageViewer.do?assessmentId=198432</t>
  </si>
  <si>
    <t>no modeled habitat upstream</t>
  </si>
  <si>
    <t>Scores as potential barrier but noted as likely passable at time of assessment. Culvert collapsing in middle.</t>
  </si>
  <si>
    <t>Embedded culvert on private driveway. EB known upstream. Culvert does not appear likely to be significantly impacting upstream fish passage for juvenile or adult WCT at time of survey.</t>
  </si>
  <si>
    <t>http://a100.gov.bc.ca/pub/pscismap/imageViewer.do?assessmentId=198431</t>
  </si>
  <si>
    <t>Scores as potential barrier but noted as likely passable (embedded culvert)</t>
  </si>
  <si>
    <t>Fenced private land upstream and downstream. Wetland area downstream.  Culvert does not appear likely to be significantly impacting upstream fish passage for juvenile or adult WCT at time of survey.</t>
  </si>
  <si>
    <t>Airport Road</t>
  </si>
  <si>
    <t>http://a100.gov.bc.ca/pub/pscismap/imageViewer.do?assessmentId=198430</t>
  </si>
  <si>
    <t>No modeled key habitat but noted as medium quality in field.</t>
  </si>
  <si>
    <t>Airport Rd</t>
  </si>
  <si>
    <t>197564;62423;11e03b9a-0a3f-4022-b534-7e3de9eece2e</t>
  </si>
  <si>
    <t>Grave Creek</t>
  </si>
  <si>
    <t>300.625474.584724.478727.717020</t>
  </si>
  <si>
    <t>300.625474.584724.478727</t>
  </si>
  <si>
    <t>Bridge in good condition</t>
  </si>
  <si>
    <t>Grave Creek FSR</t>
  </si>
  <si>
    <t>62181;62182;11e03b9a-0a3f-4022-b534-7e3de9eece2e</t>
  </si>
  <si>
    <t>300.625474.584724.501797.379510.473796</t>
  </si>
  <si>
    <t>300.625474.584724.501797.379510</t>
  </si>
  <si>
    <t>Concrete bridge. Good condition.</t>
  </si>
  <si>
    <t>Dry Creek</t>
  </si>
  <si>
    <t>Dry Creek FSR</t>
  </si>
  <si>
    <t>300.625474.584724.501797.379510.059716</t>
  </si>
  <si>
    <t>Ewin Creek Road</t>
  </si>
  <si>
    <t>Fording FSR</t>
  </si>
  <si>
    <t>1004600837;1024760703;11e03b9a-0a3f-4022-b534-7e3de9eece2e</t>
  </si>
  <si>
    <t>300.625474.584724.412090.940325</t>
  </si>
  <si>
    <t>Permanent impassable rock outcrop downstream 200m. 3 x 0.9m pipes.</t>
  </si>
  <si>
    <t>Tributary to Michel Creek</t>
  </si>
  <si>
    <t>Flathead FSR</t>
  </si>
  <si>
    <t>http://a100.gov.bc.ca/pub/pscismap/imageViewer.do?assessmentId=198642</t>
  </si>
  <si>
    <t>Permanent impassable rock outcrop downstream</t>
  </si>
  <si>
    <t>50181;50185;11e03b9a-0a3f-4022-b534-7e3de9eece2e</t>
  </si>
  <si>
    <t>300.625474.584724.166401.036885.469824</t>
  </si>
  <si>
    <t>300.625474.584724.166401.036885</t>
  </si>
  <si>
    <t>unknown fish presence, constructed ford on gasline</t>
  </si>
  <si>
    <t>unnamed tributary to Morrisey Creek</t>
  </si>
  <si>
    <t>Gasline off East Basin Rd</t>
  </si>
  <si>
    <t>197827;11e03b9a-0a3f-4022-b534-7e3de9eece2e</t>
  </si>
  <si>
    <t>300.625474.584724.501797.921172</t>
  </si>
  <si>
    <t>300.625474.584724.501797</t>
  </si>
  <si>
    <t>1004603948;1004604098;1004604105;1004604147;1004604461;1004604469;1004604566;1004605053;1004605629;1004606108;1004606581;1004607470;1004607598</t>
  </si>
  <si>
    <t>1004604481;11e03b9a-0a3f-4022-b534-7e3de9eece2e</t>
  </si>
  <si>
    <t>1004600666;1004603413;1004604060;1004604062;1004604114;1004604674;1004606284;1024706649;197825</t>
  </si>
  <si>
    <t>300.625474.584724.501797.749043</t>
  </si>
  <si>
    <t>1024760703;11e03b9a-0a3f-4022-b534-7e3de9eece2e</t>
  </si>
  <si>
    <t>300.625474.584724.412090.899230</t>
  </si>
  <si>
    <t>300.625474.584724.412090</t>
  </si>
  <si>
    <t>No fish passage issues evident. No fix required.</t>
  </si>
  <si>
    <t>Corbin Forest Service Road</t>
  </si>
  <si>
    <t>https://a100.gov.bc.ca/pub/pscismap/imageViewer.do?assessmentId=201322</t>
  </si>
  <si>
    <t>Corbin FSR</t>
  </si>
  <si>
    <t>197864;11e03b9a-0a3f-4022-b534-7e3de9eece2e</t>
  </si>
  <si>
    <t>300.625474.584724.233916.348816</t>
  </si>
  <si>
    <t>Very steep immediately upstream of crossing. 13:33</t>
  </si>
  <si>
    <t>http://a100.gov.bc.ca/pub/pscismap/imageViewer.do?assessmentId=198883</t>
  </si>
  <si>
    <t>Very steep upstream of structure</t>
  </si>
  <si>
    <t>1004606284;1024706649</t>
  </si>
  <si>
    <t>Staff gauge and transducer upstream. 12:30</t>
  </si>
  <si>
    <t>https://a100.gov.bc.ca/pub/pscismap/imageViewer.do?assessmentId=198846</t>
  </si>
  <si>
    <t>1004600508;1004602949</t>
  </si>
  <si>
    <t>197534;11e03b9a-0a3f-4022-b534-7e3de9eece2e</t>
  </si>
  <si>
    <t>Weigert Creek</t>
  </si>
  <si>
    <t>300.625474.584724.529811</t>
  </si>
  <si>
    <t>ATV Trail. 11:42</t>
  </si>
  <si>
    <t>http://a100.gov.bc.ca/pub/pscismap/imageViewer.do?assessmentId=198838</t>
  </si>
  <si>
    <t>Road deactivated</t>
  </si>
  <si>
    <t>300.625474.584724.529811.364592</t>
  </si>
  <si>
    <t>Road deactivated at entrance and crossings pulled. 10:37</t>
  </si>
  <si>
    <t>https://a100.gov.bc.ca/pub/pscismap/imageViewer.do?assessmentId=198840</t>
  </si>
  <si>
    <t>Weigert Creek FSR</t>
  </si>
  <si>
    <t>300.625474.584724.529811.272383</t>
  </si>
  <si>
    <t>Dry and very steep stream channel.  Likely to steep for WCT. 10:47</t>
  </si>
  <si>
    <t>Tributary to Weigert Creek</t>
  </si>
  <si>
    <t>Weigert FSR</t>
  </si>
  <si>
    <t>http://a100.gov.bc.ca/pub/pscismap/imageViewer.do?assessmentId=198837</t>
  </si>
  <si>
    <t>dry and very steep channel</t>
  </si>
  <si>
    <t>No modeled habitat, noted as low quality in the field.</t>
  </si>
  <si>
    <t>300.625474.584724.529811.338202</t>
  </si>
  <si>
    <t>Ford within access mnagement area. 10:26</t>
  </si>
  <si>
    <t>http://a100.gov.bc.ca/pub/pscismap/imageViewer.do?assessmentId=198836</t>
  </si>
  <si>
    <t>13635d39-ee0f-4d0c-bb9c-9649ac9a5c63;11e03b9a-0a3f-4022-b534-7e3de9eece2e</t>
  </si>
  <si>
    <t>Harmer Creek</t>
  </si>
  <si>
    <t>300.625474.584724.478727.336223.566262</t>
  </si>
  <si>
    <t>300.625474.584724.478727.336223</t>
  </si>
  <si>
    <t>Appears that bridge may have been removed recently. 16:06</t>
  </si>
  <si>
    <t>https://a100.gov.bc.ca/pub/pscismap/imageViewer.do?assessmentId=198823</t>
  </si>
  <si>
    <t>Bridge may have been recently removed</t>
  </si>
  <si>
    <t>Ford passable with 4wd.</t>
  </si>
  <si>
    <t>http://a100.gov.bc.ca/pub/pscismap/imageViewer.do?assessmentId=198627</t>
  </si>
  <si>
    <t>50152;11e03b9a-0a3f-4022-b534-7e3de9eece2e</t>
  </si>
  <si>
    <t>300.625474.584724.233916.242980</t>
  </si>
  <si>
    <t>New bridge</t>
  </si>
  <si>
    <t>Stove Creek</t>
  </si>
  <si>
    <t>197579;11e03b9a-0a3f-4022-b534-7e3de9eece2e</t>
  </si>
  <si>
    <t>Very recent heavy rains, 2 side channels for ski hill drainage infrastructure giving significant flow contributions just upstream of crossing, one of which is especially turbid (from large parking lot). Culvert not baffled, very steep. A lot of fill on paved access to condos. Old metal collar of culvert ripped off and in outlet pool.</t>
  </si>
  <si>
    <t>Highline Drive (Fernie ski hill)</t>
  </si>
  <si>
    <t>http://a100.gov.bc.ca/pub/pscismap/imageViewer.do?assessmentId=198473</t>
  </si>
  <si>
    <t>No modeled habitat but noted as medium quality in field. Check with WG on next steps</t>
  </si>
  <si>
    <t>Highline Dr</t>
  </si>
  <si>
    <t>62516;11e03b9a-0a3f-4022-b534-7e3de9eece2e</t>
  </si>
  <si>
    <t>300.625474.584724.233916.441528.111039</t>
  </si>
  <si>
    <t>300.625474.584724.233916.441528</t>
  </si>
  <si>
    <t>Nice wooden pedestrian/bike bridge for recreational use.</t>
  </si>
  <si>
    <t>Lazy Lizard Lower</t>
  </si>
  <si>
    <t>http://a100.gov.bc.ca/pub/pscismap/imageViewer.do?assessmentId=198466</t>
  </si>
  <si>
    <t>No modeled key habitat upstream but modeled habitat downstream. Lizard is important WCT system.</t>
  </si>
  <si>
    <t>Bridge on rec trail</t>
  </si>
  <si>
    <t>62423;11e03b9a-0a3f-4022-b534-7e3de9eece2e</t>
  </si>
  <si>
    <t>Deactivated road. Ford.</t>
  </si>
  <si>
    <t>http://a100.gov.bc.ca/pub/pscismap/imageViewer.do?assessmentId=198463</t>
  </si>
  <si>
    <t>Deactivated road (ford)</t>
  </si>
  <si>
    <t>1024734797;11e03b9a-0a3f-4022-b534-7e3de9eece2e</t>
  </si>
  <si>
    <t>300.625474.584724.503185</t>
  </si>
  <si>
    <t>Dry at time of survey, no channel present, area vegetated grassland. Two culverts, 0.60m in diameter. Top culvert 0.5m higher than the lower.</t>
  </si>
  <si>
    <t>Line creek mine road</t>
  </si>
  <si>
    <t>http://a100.gov.bc.ca/pub/pscismap/imageViewer.do?assessmentId=198460</t>
  </si>
  <si>
    <t>Noted as dry with no channel present, no modeled habitat.</t>
  </si>
  <si>
    <t>Line Creek Mine Road</t>
  </si>
  <si>
    <t>Line Creek Mine Rd</t>
  </si>
  <si>
    <t>1004600326;11e03b9a-0a3f-4022-b534-7e3de9eece2e</t>
  </si>
  <si>
    <t>No visible channel. Not likely fish habitat. Agricultural area.</t>
  </si>
  <si>
    <t>http://a100.gov.bc.ca/pub/pscismap/imageViewer.do?assessmentId=198456</t>
  </si>
  <si>
    <t>No visible channel. No modeled habitat.</t>
  </si>
  <si>
    <t>1024754900;11e03b9a-0a3f-4022-b534-7e3de9eece2e</t>
  </si>
  <si>
    <t>300.625474.584724.716680.162498</t>
  </si>
  <si>
    <t>Stream dry at time of survey. Vegetated channel, loaded with sediment. Inlet of culvert damaged, partly bent. Inlet and outlet area dredged. Not likely fish habitat.</t>
  </si>
  <si>
    <t>Elk River FSR</t>
  </si>
  <si>
    <t>http://a100.gov.bc.ca/pub/pscismap/imageViewer.do?assessmentId=198452</t>
  </si>
  <si>
    <t>Stream dry, vegetated channel. No modeled habitat</t>
  </si>
  <si>
    <t>Elk River Main FSR</t>
  </si>
  <si>
    <t>62515;11e03b9a-0a3f-4022-b534-7e3de9eece2e</t>
  </si>
  <si>
    <t>300.625474.584724.233916.539602</t>
  </si>
  <si>
    <t>Bike trail.</t>
  </si>
  <si>
    <t>http://a100.gov.bc.ca/pub/pscismap/imageViewer.do?assessmentId=198443</t>
  </si>
  <si>
    <t>No modeled key habitat but trib to important WCT stream (Lizard Cr).</t>
  </si>
  <si>
    <t>Bridge on bike trail</t>
  </si>
  <si>
    <t>Trbituary to Lizard Creek</t>
  </si>
  <si>
    <t>1004606751;11e03b9a-0a3f-4022-b534-7e3de9eece2e</t>
  </si>
  <si>
    <t>300.625474.584724.427766.030001.284549</t>
  </si>
  <si>
    <t>Whiting creek appeared to not be present through agricultural field downstream. This appeared to be only channel present for Whiting crossing this road although the main Whiting channel is present upstream. Dry, heavily vegetated channel downstream. Defined channel upstream but seems unlikely to be fish bearing.</t>
  </si>
  <si>
    <t>Tributary to Whiting Creek</t>
  </si>
  <si>
    <t>http://a100.gov.bc.ca/pub/pscismap/imageViewer.do?assessmentId=198428</t>
  </si>
  <si>
    <t>Noted as unlikely fish bearing in field, no modeled habitat</t>
  </si>
  <si>
    <t>197526;11e03b9a-0a3f-4022-b534-7e3de9eece2e</t>
  </si>
  <si>
    <t>300.625474.584724.661397.186513.257662</t>
  </si>
  <si>
    <t>300.625474.584724.661397.186513</t>
  </si>
  <si>
    <t>Plan in place to deactivate entire network here (personal communication with local machinery operator). Dry, vegetated channel. Likely non-fish bearing.</t>
  </si>
  <si>
    <t>Spur from Elk River FSR</t>
  </si>
  <si>
    <t>http://a100.gov.bc.ca/pub/pscismap/imageViewer.do?assessmentId=198425</t>
  </si>
  <si>
    <t>Dry, vegetated channel, no modeled habitat</t>
  </si>
  <si>
    <t>Spur off Elk River Main FSR</t>
  </si>
  <si>
    <t>300.625474.584724.716680</t>
  </si>
  <si>
    <t>Stream not located where mapped. Unlikely fish bearing. Flows into forest floor downstream of culvert.</t>
  </si>
  <si>
    <t>http://a100.gov.bc.ca/pub/pscismap/imageViewer.do?assessmentId=198422</t>
  </si>
  <si>
    <t>Unmapped stream</t>
  </si>
  <si>
    <t>Noted as unlikely fish bearing</t>
  </si>
  <si>
    <t>1024734526;11e03b9a-0a3f-4022-b534-7e3de9eece2e</t>
  </si>
  <si>
    <t>300.625474.584724.412090.240087.386148.143880</t>
  </si>
  <si>
    <t>300.625474.584724.412090.240087.386148</t>
  </si>
  <si>
    <t>Sign says "trail constructed illegally"</t>
  </si>
  <si>
    <t>Deadmans Creek</t>
  </si>
  <si>
    <t>Deadmans Rd</t>
  </si>
  <si>
    <t>300.625474.584724.478727.336223.307549</t>
  </si>
  <si>
    <t>Harmer FSR</t>
  </si>
  <si>
    <t>unknown fish presence, moderate habitat value</t>
  </si>
  <si>
    <t>1004603990;1004606266;1024734526</t>
  </si>
  <si>
    <t>11e03b9a-0a3f-4022-b534-7e3de9eece2e</t>
  </si>
  <si>
    <t>Alexander Creek</t>
  </si>
  <si>
    <t>300.625474.584724.412090.240087.140502</t>
  </si>
  <si>
    <t>300.625474.584724.412090.240087</t>
  </si>
  <si>
    <t>DAM</t>
  </si>
  <si>
    <t>CABD</t>
  </si>
  <si>
    <t>4c42b100-3292-4832-b135-b2a8ff2ef98b</t>
  </si>
  <si>
    <t>1004603451;1004604003;1004604004;1004604005;1004604006;1004604012;1004604016;1004605375;1004605556;1004605651;1004606929;1024735335;1024747094;1024754900;197520;197526;197527;197553;197554;197555;197828;62271</t>
  </si>
  <si>
    <t>Elk River</t>
  </si>
  <si>
    <t>300.625474.584724.623939</t>
  </si>
  <si>
    <t>300.625474.584724</t>
  </si>
  <si>
    <t>1004603451;1004604003;1004604004;1004604005;1004604006;1004604012;1004604016;1004605651;1004606929;1024735335;1024747094;1024754900;197520;197526;197553;197554;197555;197828;62271</t>
  </si>
  <si>
    <t>300.625474.584724.631731</t>
  </si>
  <si>
    <t>1004600115;1004600118;1004600120;1004600126;1004600131;1004600132;1004600323;1004600350;1004600352;1004600378;1004600380;1004600381;1004600433;1004600434;1004600435;1004600436;1004600438;1004600440;1004600441;1004600442;1004600451;1004600452;1004600457;1004600588;1004600594;1004600715;1004600735;1004600736;1004600739;1004600758;1004600835;1004600851;1004600945;1004600956;1004601099;1004601251;1004601285;1004601374;1004601393;1004601403;1004601519;1004601913;1004602197;1004602454;1004603990;1004604205;1004604206;1004604208;1004604237;1004604257;1004605096;1004605107;1004606266;1004606675;1004606677;1004606741;1004606794;1004606815;1004606818;1004606821;1004606824;1004606908;1004607003;1004607575;1024734509;1024734526;1024760703;1024760705;50254;50255;50276;50277;ad12484a-f905-460d-a7ec-509f7fd6c892;da63680c-0ffd-447a-941b-d59e42c0fa8b</t>
  </si>
  <si>
    <t>300.625474.584724.412090.114565</t>
  </si>
  <si>
    <t>1004601603;1004602161;50152;50153</t>
  </si>
  <si>
    <t>Lizard Creek</t>
  </si>
  <si>
    <t>300.625474.584724.233916.097307</t>
  </si>
  <si>
    <t>300.625474.584724.233916</t>
  </si>
  <si>
    <t>Chauncey Creek</t>
  </si>
  <si>
    <t>300.625474.584724.501797.535128</t>
  </si>
  <si>
    <t>Ewin Creek</t>
  </si>
  <si>
    <t>300.625474.584724.501797.421982.030230</t>
  </si>
  <si>
    <t>300.625474.584724.501797.421982</t>
  </si>
  <si>
    <t>1004600115;1004600118;1004600120;1004600126;1004600131;1004600132;1004600323;1004600346;1004600350;1004600352;1004600378;1004600380;1004600381;1004600433;1004600434;1004600435;1004600436;1004600438;1004600440;1004600441;1004600442;1004600451;1004600452;1004600457;1004600588;1004600594;1004600715;1004600735;1004600736;1004600739;1004600758;1004600835;1004600851;1004600945;1004600956;1004601090;1004601099;1004601251;1004601285;1004601374;1004601393;1004601403;1004601519;1004601913;1004602197;1004602454;1004603194;1004603990;1004604202;1004604205;1004604206;1004604208;1004604237;1004604257;1004604442;1004605096;1004605107;1004606266;1004606675;1004606677;1004606732;1004606741;1004606794;1004606815;1004606818;1004606821;1004606824;1004606831;1004606908;1004607003;1004607575;1024734509;1024734526;1024760703;1024760705;50254;50255;50276;50277;84b62416-5a21-4c6c-925c-86db9cb2106b;ad12484a-f905-460d-a7ec-509f7fd6c892;da63680c-0ffd-447a-941b-d59e42c0fa8b</t>
  </si>
  <si>
    <t>1004600115;1004600118;1004600120;1004600350;1004600352;1004600378;1004600380;1004600381;1004600433;1004600434;1004600435;1004600436;1004600438;1004600440;1004600441;1004600442;1004600451;1004600452;1004600457;1004600588;1004600594;1004600835;1004600851;1004600945;1004600956;1004601099;1004601519;1004601913;1004602197;1004604205;1004604206;1004604208;1004604237;1004605096;1004605107;1004606741;1004606794;1004606908;1004607003;1004607575;1024760703;1024760705;50254;50255;50276;50277;da63680c-0ffd-447a-941b-d59e42c0fa8b</t>
  </si>
  <si>
    <t>300.625474.584724.412090.324303</t>
  </si>
  <si>
    <t>1004600013;1004600015;1004600018;1004600019;1004600022;1004600025;1004600041;1004600042;1004600044;1004600045;1004600051;1004600054;1004600084;1004600085;1004600086;1004600115;1004600118;1004600120;1004600126;1004600129;1004600131;1004600132;1004600135;1004600143;1004600156;1004600159;1004600160;1004600174;1004600176;1004600189;1004600195;1004600227;1004600317;1004600320;1004600323;1004600326;1004600327;1004600328;1004600342;1004600346;1004600350;1004600352;1004600378;1004600380;1004600381;1004600433;1004600434;1004600435;1004600436;1004600438;1004600440;1004600441;1004600442;1004600451;1004600452;1004600457;1004600470;1004600508;1004600588;1004600594;1004600666;1004600699;1004600715;1004600735;1004600736;1004600739;1004600758;1004600835;1004600851;1004600945;1004600956;1004601090;1004601099;1004601125;1004601193;1004601225;1004601251;1004601285;1004601374;1004601393;1004601403;1004601457;1004601519;1004601583;1004601603;1004601754;1004601755;1004601757;1004601761;1004601762;1004601913;1004602074;1004602161;1004602170;1004602197;1004602198;1004602324;1004602341;1004602344;1004602419;1004602454;1004602949;1004602958;1004602974;1004603040;1004603194;1004603242;1004603244;1004603263;1004603285;1004603316;1004603413;1004603451;1004603948;1004603990;1004604003;1004604004;1004604005;1004604006;1004604012;1004604016;1004604060;1004604062;1004604098;1004604105;1004604114;1004604116;1004604117;1004604121;1004604147;1004604202;1004604205;1004604206;1004604208;1004604237;1004604257;1004604422;1004604442;1004604461;1004604469;1004604481;1004604566;1004604611;1004604674;1004604943;1004605000;1004605053;1004605096;1004605107;1004605197;1004605375;1004605430;1004605556;1004605606;1004605629;1004605651;1004605688;1004605839;1004606108;1004606266;1004606284;1004606581;1004606675;1004606677;1004606678;1004606705;1004606710;1004606718;1004606721;1004606732;1004606741;1004606751;1004606781;1004606785;1004606788;1004606794;1004606800;1004606802;1004606808;1004606815;1004606818;1004606821;1004606824;1004606831;1004606908;1004606918;1004606929;1004607003;1004607028;1004607029;1004607409;1004607470;1004607522;1004607575;1004607598;1024706649;1024733652;1024734106;1024734150;1024734179;1024734206;1024734248;1024734250;1024734251;1024734255;1024734256;1024734259;1024734509;1024734526;1024734735;1024734736;1024734737;1024734738;1024734739;1024734740;1024734741;1024734755;1024734756;1024734829;1024734830;1024734942;1024735050;1024735335;1024747094;1024752563;1024752650;1024754325;1024754900;1024760703;1024760705;103033;13635d39-ee0f-4d0c-bb9c-9649ac9a5c63;197520;197526;197527;197533;197534;197542;197553;197554;197555;197559;197565;197570;197571;197572;197578;197579;197580;197581;197583;197825;197827;197828;199903;199904;199906;50152;50153;50181;50185;50254;50255;50276;50277;60c42164-042e-492f-8ae0-31413e16f87e;61608;62167;62181;62182;62271;62413;62416;62423;84b62416-5a21-4c6c-925c-86db9cb2106b;98a6d14e-ea75-446a-80e5-8709bf2eb8e9;ad12484a-f905-460d-a7ec-509f7fd6c892;ca143804-45bf-42da-90a4-16a6498d60a7;da28f1e5-4fb1-43cd-ac85-123d6735677e;da63680c-0ffd-447a-941b-d59e42c0fa8b;e86b513c-3dce-4b4a-a49e-e86e4dac935e</t>
  </si>
  <si>
    <t>300.625474.584724.119499</t>
  </si>
  <si>
    <t>1004600227;1004602170;1004602198</t>
  </si>
  <si>
    <t>Coal Creek</t>
  </si>
  <si>
    <t>300.625474.584724.253915</t>
  </si>
  <si>
    <t>1004601125;13635d39-ee0f-4d0c-bb9c-9649ac9a5c63;197565;62423</t>
  </si>
  <si>
    <t>1004603948;1004604098;1004604105;1004604147;1004604461;1004604469;1004604481;1004604566;1004605000;1004605053;1004605629;1004606108;1004606581;1004607470;1004607598;1024734942</t>
  </si>
  <si>
    <t>1004601225;1004602074;1024752563</t>
  </si>
  <si>
    <t>Cummings Creek</t>
  </si>
  <si>
    <t>300.625474.584724.427766</t>
  </si>
  <si>
    <t>1004600041;1004600042;1004600044;1004600045;1004600051;1004600054;1004600189;1004600326;1004600508;1004600666;1004601125;1004601193;1004601225;1004602074;1004602324;1004602341;1004602344;1004602949;1004602958;1004602974;1004603040;1004603242;1004603244;1004603263;1004603316;1004603413;1004603451;1004603948;1004604003;1004604004;1004604005;1004604006;1004604012;1004604016;1004604060;1004604062;1004604098;1004604105;1004604114;1004604116;1004604117;1004604121;1004604147;1004604422;1004604461;1004604469;1004604481;1004604566;1004604611;1004604674;1004604943;1004605000;1004605053;1004605375;1004605430;1004605556;1004605606;1004605629;1004605651;1004605688;1004605839;1004606108;1004606284;1004606581;1004606705;1004606710;1004606751;1004606918;1004606929;1004607028;1004607029;1004607409;1004607470;1004607522;1004607598;1024706649;1024734829;1024734830;1024734942;1024735050;1024735335;1024747094;1024752563;1024754900;13635d39-ee0f-4d0c-bb9c-9649ac9a5c63;197520;197526;197527;197533;197534;197553;197554;197555;197559;197565;197825;197827;197828;61608;62167;62181;62182;62271;62413;62416;62423;da28f1e5-4fb1-43cd-ac85-123d6735677e</t>
  </si>
  <si>
    <t>300.625474.584724.417270</t>
  </si>
  <si>
    <t>1004600041;1004600042;1004600044;1004600045;1004600051;1004600054;1004600189;1004600508;1004600666;1004601125;1004601193;1004602341;1004602949;1004602958;1004602974;1004603040;1004603242;1004603244;1004603263;1004603316;1004603413;1004603451;1004603948;1004604003;1004604004;1004604005;1004604006;1004604012;1004604016;1004604060;1004604062;1004604098;1004604105;1004604114;1004604116;1004604117;1004604121;1004604147;1004604422;1004604461;1004604469;1004604481;1004604566;1004604611;1004604674;1004604943;1004605000;1004605053;1004605375;1004605430;1004605556;1004605606;1004605629;1004605651;1004605688;1004605839;1004606108;1004606284;1004606581;1004606705;1004606710;1004606918;1004606929;1004607028;1004607029;1004607409;1004607470;1004607522;1004607598;1024706649;1024734942;1024735050;1024735335;1024747094;1024754900;13635d39-ee0f-4d0c-bb9c-9649ac9a5c63;197520;197526;197527;197533;197534;197553;197554;197555;197559;197565;197825;197827;197828;61608;62167;62181;62182;62271;62413;62416;62423;da28f1e5-4fb1-43cd-ac85-123d6735677e</t>
  </si>
  <si>
    <t>300.625474.584724.458731</t>
  </si>
  <si>
    <t>1004600326;1004602324;1004602344;1024734829;1024734830</t>
  </si>
  <si>
    <t>1004600115;1004600118;1004600120;1004600350;1004600352;1004600378;1004600380;1004600381;1004600433;1004600434;1004600435;1004600436;1004600438;1004600440;1004600441;1004600442;1004600451;1004600452;1004600457;1004600588;1004600594;1004600835;1004600851;1004600945;1004600956;1004601099;1004601519;1004601913;1004602197;1004604205;1004604206;1004604208;1004604237;1004605096;1004605107;1004606741;1004606794;1004606824;1004606908;1004607003;1004607575;1024760703;1024760705;50254;50255;50276;50277;da63680c-0ffd-447a-941b-d59e42c0fa8b</t>
  </si>
  <si>
    <t>300.625474.584724.412090.250927</t>
  </si>
  <si>
    <t>1004600126;1004600131;1004600132;1004600323;1004600715;1004600735;1004600736;1004600739;1004600758;1004601393;1004602454;1004603990;1004604257;1004606266;1004606675;1004606677;1004606815;1004606818;1024734509;1024734526</t>
  </si>
  <si>
    <t>1004600118;1004600120;1004600433;1004600434;1004600435;1004600436;1004600438;1004600440;1004600441;1004600442;1004600451;1004600452;1004600457;1004600835;1004601099;1004601913;1004602197;1004604205;1004604206;1004604208;1004604237;1004605096;1004606741;1004606908;1024760703;1024760705;50254;50255;da63680c-0ffd-447a-941b-d59e42c0fa8b</t>
  </si>
  <si>
    <t>300.625474.584724.412090.486369</t>
  </si>
  <si>
    <t>1004600433;1004600434;1004600435;1004600436;1004600438;1004600440;1004600441;1004600442;1004600451;1004600452;1004600457</t>
  </si>
  <si>
    <t>Andy Good Creek</t>
  </si>
  <si>
    <t>300.625474.584724.412090.745541</t>
  </si>
  <si>
    <t>1004600666;1004603413;1004604060;1004604062;1004604114;1004604116;1004604117;1004604121;1004604674;1004605606;1004606284;1024706649;197825;197827</t>
  </si>
  <si>
    <t>300.625474.584724.501797.669032</t>
  </si>
  <si>
    <t>300.625474.584724.100997</t>
  </si>
  <si>
    <t>River Rd</t>
  </si>
  <si>
    <t>1004600044;1004600045;1004600051;1004600054;1004600189;1004603040;1004603316;1004603451;1004604003;1004604004;1004604005;1004604006;1004604012;1004604016;1004605375;1004605556;1004605651;1004605688;1004605839;1004606929;1024735335;1024747094;1024754900;197520;197526;197527;197553;197554;197555;197828;62271;da28f1e5-4fb1-43cd-ac85-123d6735677e</t>
  </si>
  <si>
    <t>300.625474.584724.568019</t>
  </si>
  <si>
    <t>1004600666;1004603413;1004604060;1004604062;1004604114;1004604116;1004604121;1004604674;1004605606;1004606284;1024706649;197825;197827</t>
  </si>
  <si>
    <t>300.625474.584724.501797.697024</t>
  </si>
  <si>
    <t>1004600041;1004600042;1004600044;1004600045;1004600051;1004600054;1004600084;1004600085;1004600086;1004600115;1004600118;1004600120;1004600126;1004600129;1004600131;1004600132;1004600189;1004600320;1004600323;1004600326;1004600346;1004600350;1004600352;1004600378;1004600380;1004600381;1004600433;1004600434;1004600435;1004600436;1004600438;1004600440;1004600441;1004600442;1004600451;1004600452;1004600457;1004600470;1004600508;1004600588;1004600594;1004600666;1004600715;1004600735;1004600736;1004600739;1004600758;1004600835;1004600851;1004600945;1004600956;1004601090;1004601099;1004601125;1004601193;1004601225;1004601251;1004601285;1004601374;1004601393;1004601403;1004601457;1004601519;1004601913;1004602074;1004602197;1004602324;1004602341;1004602344;1004602419;1004602454;1004602949;1004602958;1004602974;1004603040;1004603194;1004603242;1004603244;1004603263;1004603285;1004603316;1004603413;1004603451;1004603948;1004603990;1004604003;1004604004;1004604005;1004604006;1004604012;1004604016;1004604060;1004604062;1004604098;1004604105;1004604114;1004604116;1004604117;1004604121;1004604147;1004604202;1004604205;1004604206;1004604208;1004604237;1004604257;1004604422;1004604442;1004604461;1004604469;1004604481;1004604566;1004604611;1004604674;1004604943;1004605000;1004605053;1004605096;1004605107;1004605375;1004605430;1004605556;1004605606;1004605629;1004605651;1004605688;1004605839;1004606108;1004606266;1004606284;1004606581;1004606675;1004606677;1004606678;1004606705;1004606710;1004606732;1004606741;1004606751;1004606781;1004606785;1004606788;1004606794;1004606815;1004606818;1004606821;1004606824;1004606831;1004606908;1004606918;1004606929;1004607003;1004607028;1004607029;1004607409;1004607470;1004607522;1004607575;1004607598;1024706649;1024734206;1024734509;1024734526;1024734735;1024734736;1024734737;1024734738;1024734739;1024734740;1024734741;1024734755;1024734756;1024734829;1024734830;1024734942;1024735050;1024735335;1024747094;1024752563;1024754325;1024754900;1024760703;1024760705;13635d39-ee0f-4d0c-bb9c-9649ac9a5c63;197520;197526;197527;197533;197534;197553;197554;197555;197559;197565;197825;197827;197828;50254;50255;50276;50277;61608;62167;62181;62182;62271;62413;62416;62423;84b62416-5a21-4c6c-925c-86db9cb2106b;ad12484a-f905-460d-a7ec-509f7fd6c892;da28f1e5-4fb1-43cd-ac85-123d6735677e;da63680c-0ffd-447a-941b-d59e42c0fa8b</t>
  </si>
  <si>
    <t>300.625474.584724.315671</t>
  </si>
  <si>
    <t>Hosmer Bridge</t>
  </si>
  <si>
    <t>300.625474.584724.564296</t>
  </si>
  <si>
    <t>300.625474.584724.501797.033182.155757</t>
  </si>
  <si>
    <t>1004602170;1004602198</t>
  </si>
  <si>
    <t>Matheson Creek</t>
  </si>
  <si>
    <t>300.625474.584724.253915.470785.204032</t>
  </si>
  <si>
    <t>300.625474.584724.253915.470785</t>
  </si>
  <si>
    <t>300.625474.584724.501797.033182.139882</t>
  </si>
  <si>
    <t>300.625474.584724.501797.033182.254292</t>
  </si>
  <si>
    <t>300.625474.584724.501797.033182.211683</t>
  </si>
  <si>
    <t>300.625474.584724.501797.033182.205958</t>
  </si>
  <si>
    <t>Michel Creek Overpass</t>
  </si>
  <si>
    <t>1004600018;1004600019;1004600022;1004600025;1004600041;1004600042;1004600044;1004600045;1004600051;1004600054;1004600084;1004600085;1004600086;1004600115;1004600118;1004600120;1004600126;1004600129;1004600131;1004600132;1004600135;1004600143;1004600156;1004600159;1004600160;1004600174;1004600176;1004600189;1004600227;1004600320;1004600323;1004600326;1004600327;1004600328;1004600342;1004600346;1004600350;1004600352;1004600378;1004600380;1004600381;1004600433;1004600434;1004600435;1004600436;1004600438;1004600440;1004600441;1004600442;1004600451;1004600452;1004600457;1004600470;1004600508;1004600588;1004600594;1004600666;1004600699;1004600715;1004600735;1004600736;1004600739;1004600758;1004600835;1004600851;1004600945;1004600956;1004601090;1004601099;1004601125;1004601193;1004601225;1004601251;1004601285;1004601374;1004601393;1004601403;1004601457;1004601519;1004601583;1004601603;1004601755;1004601757;1004601913;1004602074;1004602161;1004602170;1004602197;1004602198;1004602324;1004602341;1004602344;1004602419;1004602454;1004602949;1004602958;1004602974;1004603040;1004603194;1004603242;1004603244;1004603263;1004603285;1004603316;1004603413;1004603451;1004603948;1004603990;1004604003;1004604004;1004604005;1004604006;1004604012;1004604016;1004604060;1004604062;1004604098;1004604105;1004604114;1004604116;1004604117;1004604121;1004604147;1004604202;1004604205;1004604206;1004604208;1004604237;1004604257;1004604422;1004604442;1004604461;1004604469;1004604481;1004604566;1004604611;1004604674;1004604943;1004605000;1004605053;1004605096;1004605107;1004605375;1004605430;1004605556;1004605606;1004605629;1004605651;1004605688;1004605839;1004606108;1004606266;1004606284;1004606581;1004606675;1004606677;1004606678;1004606705;1004606710;1004606732;1004606741;1004606751;1004606781;1004606785;1004606788;1004606794;1004606802;1004606808;1004606815;1004606818;1004606821;1004606824;1004606831;1004606908;1004606918;1004606929;1004607003;1004607028;1004607029;1004607409;1004607470;1004607522;1004607575;1004607598;1024706649;1024734106;1024734206;1024734248;1024734250;1024734251;1024734255;1024734256;1024734259;1024734509;1024734526;1024734735;1024734736;1024734737;1024734738;1024734739;1024734740;1024734741;1024734755;1024734756;1024734829;1024734830;1024734942;1024735050;1024735335;1024747094;1024752563;1024752650;1024754325;1024754900;1024760703;1024760705;13635d39-ee0f-4d0c-bb9c-9649ac9a5c63;197520;197526;197527;197533;197534;197542;197553;197554;197555;197559;197565;197570;197571;197572;197578;197579;197580;197581;197583;197825;197827;197828;199903;199904;199906;50152;50153;50254;50255;50276;50277;60c42164-042e-492f-8ae0-31413e16f87e;61608;62167;62181;62182;62271;62413;62416;62423;84b62416-5a21-4c6c-925c-86db9cb2106b;98a6d14e-ea75-446a-80e5-8709bf2eb8e9;ad12484a-f905-460d-a7ec-509f7fd6c892;ca143804-45bf-42da-90a4-16a6498d60a7;da28f1e5-4fb1-43cd-ac85-123d6735677e;da63680c-0ffd-447a-941b-d59e42c0fa8b;e86b513c-3dce-4b4a-a49e-e86e4dac935e</t>
  </si>
  <si>
    <t>300.625474.584724.184243</t>
  </si>
  <si>
    <t>Morrissey Rd</t>
  </si>
  <si>
    <t>300.625474.584724.412090.240087.125895</t>
  </si>
  <si>
    <t>Hwy 3</t>
  </si>
  <si>
    <t>Fording River Rd</t>
  </si>
  <si>
    <t>1004600378;1004600380;1004600381;1004600588;1004600594;1004600851;1004600945;1004600956;1004601519;1004605107;1004607003;1004607575</t>
  </si>
  <si>
    <t>Leach Creek</t>
  </si>
  <si>
    <t>300.625474.584724.412090.486369.091809</t>
  </si>
  <si>
    <t>Leach Creek FSR</t>
  </si>
  <si>
    <t>1004600378;1004600380;1004600381;1004600588;1004600594;1004600851;1004600945;1004600956;1004601519;1004605107;1004607575</t>
  </si>
  <si>
    <t>300.625474.584724.412090.486369.251377</t>
  </si>
  <si>
    <t>1004605839;da28f1e5-4fb1-43cd-ac85-123d6735677e</t>
  </si>
  <si>
    <t>300.625474.584724.600669</t>
  </si>
  <si>
    <t>Boivin Creek Bridge</t>
  </si>
  <si>
    <t>Fording Dr</t>
  </si>
  <si>
    <t>Wilson Bridge</t>
  </si>
  <si>
    <t>1004600044;1004600045;1004600051;1004600054;1004600189;1004600508;1004600666;1004602949;1004602958;1004602974;1004603040;1004603242;1004603244;1004603263;1004603316;1004603413;1004603451;1004603948;1004604003;1004604004;1004604005;1004604006;1004604012;1004604016;1004604060;1004604062;1004604098;1004604105;1004604114;1004604116;1004604117;1004604121;1004604147;1004604422;1004604461;1004604469;1004604481;1004604566;1004604611;1004604674;1004604943;1004605000;1004605053;1004605375;1004605430;1004605556;1004605606;1004605629;1004605651;1004605688;1004605839;1004606108;1004606284;1004606581;1004606705;1004606710;1004606918;1004606929;1004607028;1004607029;1004607409;1004607470;1004607522;1004607598;1024706649;1024734942;1024735050;1024735335;1024747094;1024754900;197520;197526;197527;197533;197534;197553;197554;197555;197559;197825;197827;197828;61608;62167;62181;62182;62271;62413;62416;da28f1e5-4fb1-43cd-ac85-123d6735677e</t>
  </si>
  <si>
    <t>300.625474.584724.487017</t>
  </si>
  <si>
    <t>Michel Prairie Bridge</t>
  </si>
  <si>
    <t>Park Ave</t>
  </si>
  <si>
    <t>1004603040;1004603316;1004603451;1004604003;1004604004;1004604005;1004604006;1004604012;1004604016;1004605375;1004605556;1004605651;1004605688;1004605839;1004606929;1024735335;1024747094;1024754900;197520;197526;197527;197553;197554;197555;197828;62271;da28f1e5-4fb1-43cd-ac85-123d6735677e</t>
  </si>
  <si>
    <t>300.625474.584724.598338</t>
  </si>
  <si>
    <t>Elkford Bridge</t>
  </si>
  <si>
    <t>300.625474.584724.412090.139263</t>
  </si>
  <si>
    <t>Michel Creek Oldtown Bridge</t>
  </si>
  <si>
    <t>300.625474.584724.412090.060281</t>
  </si>
  <si>
    <t>Michel Mouth Bridge</t>
  </si>
  <si>
    <t>Coal Creek Bridge</t>
  </si>
  <si>
    <t>1004600018;1004600019;1004600022;1004600025;1004600041;1004600042;1004600044;1004600045;1004600051;1004600054;1004600084;1004600085;1004600086;1004600115;1004600118;1004600120;1004600126;1004600129;1004600131;1004600132;1004600135;1004600143;1004600156;1004600159;1004600160;1004600174;1004600176;1004600189;1004600320;1004600323;1004600326;1004600346;1004600350;1004600352;1004600378;1004600380;1004600381;1004600433;1004600434;1004600435;1004600436;1004600438;1004600440;1004600441;1004600442;1004600451;1004600452;1004600457;1004600470;1004600508;1004600588;1004600594;1004600666;1004600699;1004600715;1004600735;1004600736;1004600739;1004600758;1004600835;1004600851;1004600945;1004600956;1004601090;1004601099;1004601125;1004601193;1004601225;1004601251;1004601285;1004601374;1004601393;1004601403;1004601457;1004601519;1004601913;1004602074;1004602197;1004602324;1004602341;1004602344;1004602419;1004602454;1004602949;1004602958;1004602974;1004603040;1004603194;1004603242;1004603244;1004603263;1004603285;1004603316;1004603413;1004603451;1004603948;1004603990;1004604003;1004604004;1004604005;1004604006;1004604012;1004604016;1004604060;1004604062;1004604098;1004604105;1004604114;1004604116;1004604117;1004604121;1004604147;1004604202;1004604205;1004604206;1004604208;1004604237;1004604257;1004604422;1004604442;1004604461;1004604469;1004604481;1004604566;1004604611;1004604674;1004604943;1004605000;1004605053;1004605096;1004605107;1004605375;1004605430;1004605556;1004605606;1004605629;1004605651;1004605688;1004605839;1004606108;1004606266;1004606284;1004606581;1004606675;1004606677;1004606678;1004606705;1004606710;1004606732;1004606741;1004606751;1004606781;1004606785;1004606788;1004606794;1004606815;1004606818;1004606821;1004606824;1004606831;1004606908;1004606918;1004606929;1004607003;1004607028;1004607029;1004607409;1004607470;1004607522;1004607575;1004607598;1024706649;1024734206;1024734248;1024734250;1024734251;1024734255;1024734256;1024734259;1024734509;1024734526;1024734735;1024734736;1024734737;1024734738;1024734739;1024734740;1024734741;1024734755;1024734756;1024734829;1024734830;1024734942;1024735050;1024735335;1024747094;1024752563;1024752650;1024754325;1024754900;1024760703;1024760705;13635d39-ee0f-4d0c-bb9c-9649ac9a5c63;197520;197526;197527;197533;197534;197542;197553;197554;197555;197559;197565;197580;197581;197583;197825;197827;197828;199906;50254;50255;50276;50277;60c42164-042e-492f-8ae0-31413e16f87e;61608;62167;62181;62182;62271;62413;62416;62423;84b62416-5a21-4c6c-925c-86db9cb2106b;98a6d14e-ea75-446a-80e5-8709bf2eb8e9;ad12484a-f905-460d-a7ec-509f7fd6c892;ca143804-45bf-42da-90a4-16a6498d60a7;da28f1e5-4fb1-43cd-ac85-123d6735677e;da63680c-0ffd-447a-941b-d59e42c0fa8b;e86b513c-3dce-4b4a-a49e-e86e4dac935e</t>
  </si>
  <si>
    <t>300.625474.584724.263583</t>
  </si>
  <si>
    <t>Leo T Nimsick Bridge</t>
  </si>
  <si>
    <t>W Fernie Bridge</t>
  </si>
  <si>
    <t>1024734179;103033;50181;50185</t>
  </si>
  <si>
    <t>300.625474.584724.166401</t>
  </si>
  <si>
    <t>Quarrie Creek</t>
  </si>
  <si>
    <t>300.625474.584724.745570.181698</t>
  </si>
  <si>
    <t>South Line Creek</t>
  </si>
  <si>
    <t>300.625474.584724.501797.033182.403392</t>
  </si>
  <si>
    <t>1024734248;60c42164-042e-492f-8ae0-31413e16f87e;ca143804-45bf-42da-90a4-16a6498d60a7</t>
  </si>
  <si>
    <t>Fairy Creek</t>
  </si>
  <si>
    <t>300.625474.584724.268451</t>
  </si>
  <si>
    <t>Fairy Creek Bridge</t>
  </si>
  <si>
    <t>1004603451;1004604003;1004604004;1004604005;1004604006;1004604012;1004604016;1004605651;1024735335;1024754900;197520;197828;62271</t>
  </si>
  <si>
    <t>300.625474.584724.711929</t>
  </si>
  <si>
    <t>300.625474.584724.412090.240087.061530</t>
  </si>
  <si>
    <t>Loop Bridge</t>
  </si>
  <si>
    <t>Marten Creek</t>
  </si>
  <si>
    <t>300.625474.584724.412090.486369.363672.218103</t>
  </si>
  <si>
    <t>300.625474.584724.412090.486369.363672</t>
  </si>
  <si>
    <t>197571;197572</t>
  </si>
  <si>
    <t>300.625474.584724.213111.055061</t>
  </si>
  <si>
    <t>300.625474.584724.213111</t>
  </si>
  <si>
    <t>300.625474.584724.501797.421982.485822</t>
  </si>
  <si>
    <t>McCool Creek</t>
  </si>
  <si>
    <t>300.625474.584724.342196.100997</t>
  </si>
  <si>
    <t>300.625474.584724.342196</t>
  </si>
  <si>
    <t>300.625474.584724.501797.033182.403392.094527</t>
  </si>
  <si>
    <t>Weary Creek</t>
  </si>
  <si>
    <t>300.625474.584724.857057</t>
  </si>
  <si>
    <t>1004600019;1004600159</t>
  </si>
  <si>
    <t>Quail Creek</t>
  </si>
  <si>
    <t>300.625474.584724.296913</t>
  </si>
  <si>
    <t>private driveway</t>
  </si>
  <si>
    <t>Kilmarnock Creek</t>
  </si>
  <si>
    <t>300.625474.584724.501797.674066</t>
  </si>
  <si>
    <t>Intentional barrier due to water quality issues. Kilmarnock Creek is to be removed as an area permanently altered by mining.</t>
  </si>
  <si>
    <t>Non-actionable</t>
  </si>
  <si>
    <t>Non-actionable barrier</t>
  </si>
  <si>
    <t>Bleasdell Creek</t>
  </si>
  <si>
    <t>300.625474.584724.838648</t>
  </si>
  <si>
    <t>300.625474.584724.895958</t>
  </si>
  <si>
    <t>300.625474.584724.412090.240087.591037</t>
  </si>
  <si>
    <t>1004601603;1004602161;50153</t>
  </si>
  <si>
    <t>300.625474.584724.233916.286571</t>
  </si>
  <si>
    <t>Lladnar Creek</t>
  </si>
  <si>
    <t>300.625474.584724.361599.133154</t>
  </si>
  <si>
    <t>300.625474.584724.361599</t>
  </si>
  <si>
    <t>300.625474.584724.639292</t>
  </si>
  <si>
    <t>1004600015;1004600195;1004601754;1004601761;1004601762;1024734150</t>
  </si>
  <si>
    <t>300.625474.584724.180931</t>
  </si>
  <si>
    <t>unsigned</t>
  </si>
  <si>
    <t>300.625474.584724.979219.038051.259035</t>
  </si>
  <si>
    <t>300.625474.584724.979219.038051</t>
  </si>
  <si>
    <t>WCT known 350 m downstream and no fish points upstream based on Habitat Wizard review. A habitat confirmation assessment with fish sampling is recommended to verify value and upstream habitat length. The preliminary recommendation is to replace with streambed simulation closed bottom culvert, approx. 2 m diameter.</t>
  </si>
  <si>
    <t>Unnamed Trib to Elk</t>
  </si>
  <si>
    <t>Elk Forest Service Road</t>
  </si>
  <si>
    <t>https://a100.gov.bc.ca/pub/pscismap/imageViewer.do?assessmentId=201325</t>
  </si>
  <si>
    <t>Noted as med quality habitat. No known WCT upstream. No modeled habitat. Recommend excluding structure.</t>
  </si>
  <si>
    <t>300.625474.584724.979219.136022</t>
  </si>
  <si>
    <t>300.625474.584724.979219</t>
  </si>
  <si>
    <t>Potential barrier. WCT known 350 m downstream and no fish points upstream based on Habitat Wizard review. A habitat confirmation with fish sampling is recommended to verify value and available upstream habitat length. Damaged culvert inlet resulted in an inlet drop. The preliminary recommendation is to replace with an open bottom structure or a streambed simulation closed bottom culvert, 1 m diameter or greater.</t>
  </si>
  <si>
    <t>https://a100.gov.bc.ca/pub/pscismap/imageViewer.do?assessmentId=201324</t>
  </si>
  <si>
    <t>WCT known 350 m downstream and no fish points upstream based on Habitat Wizard review. A habitat confirmation assessment with fish sampling is recommended to verify value and available upstream habitat length. The existing culvert was undersized with an outlet drop. The preliminary recommendation is to replace with an open bottom structure, or a streambed simulation closed bottom culvert, 1 m or greater in diameter.</t>
  </si>
  <si>
    <t>https://a100.gov.bc.ca/pub/pscismap/imageViewer.do?assessmentId=201323</t>
  </si>
  <si>
    <t>No modeled habitat but med quality habitat in field. Culvert a full barrier in poor condition. Recommend advance to habitat confirmation or exclude</t>
  </si>
  <si>
    <t>Channel dry at time of assessment. Bridge allowed complete fish passage.</t>
  </si>
  <si>
    <t>Thompson Road</t>
  </si>
  <si>
    <t>https://a100.gov.bc.ca/pub/pscismap/imageViewer.do?assessmentId=201320</t>
  </si>
  <si>
    <t>Channel dry at time of assessment</t>
  </si>
  <si>
    <t>300.625474.584724.788455.387628.246569</t>
  </si>
  <si>
    <t>300.625474.584724.788455.387628</t>
  </si>
  <si>
    <t>Very steep stream.  Culvert failing just downstream of inlet. Stream braids upstream.  13:15</t>
  </si>
  <si>
    <t>http://a100.gov.bc.ca/pub/pscismap/imageViewer.do?assessmentId=198848</t>
  </si>
  <si>
    <t>Dry at assessment</t>
  </si>
  <si>
    <t>No modeled habitat, noted as low quality in the field</t>
  </si>
  <si>
    <t>Drop of 1.1m just below outlet.  Very unlikley to be fish habitat. Stream mapped incorrectly.  Main channel is S and crosses road approximately 200m up the road. 15:30</t>
  </si>
  <si>
    <t>http://a100.gov.bc.ca/pub/pscismap/imageViewer.do?assessmentId=198884</t>
  </si>
  <si>
    <t>No modeled habitat and noted in field as very unlikely to be fish habitat</t>
  </si>
  <si>
    <t>300.625474.584724.427766.191147</t>
  </si>
  <si>
    <t>Homemade ATV bridge built with logs and slats. 15:41</t>
  </si>
  <si>
    <t>Cummings FSR</t>
  </si>
  <si>
    <t>Cummings Creek FSR</t>
  </si>
  <si>
    <t>300.625474.584724.501797.535128.208777</t>
  </si>
  <si>
    <t>Old road but possible ford site not actually on road and road mapped on other side of creek.  Access management area.  Restoration site downstream. 12:00</t>
  </si>
  <si>
    <t>https://a100.gov.bc.ca/pub/pscismap/imageViewer.do?assessmentId=198867</t>
  </si>
  <si>
    <t>300.625474.584724.501797.421982.201219</t>
  </si>
  <si>
    <t>Deactivated road. 10:43</t>
  </si>
  <si>
    <t>Tributary to Ewin Creek</t>
  </si>
  <si>
    <t>https://a100.gov.bc.ca/pub/pscismap/imageViewer.do?assessmentId=198866</t>
  </si>
  <si>
    <t>Unnaed</t>
  </si>
  <si>
    <t>Tribtary to Ewin Creek</t>
  </si>
  <si>
    <t>Well used ford.  Actually crossing location does not align exceptionally well with modelled location but we have left the modelled location to facilitate the best modelling. Actual UTM (11U 648220 5499799). 11:29</t>
  </si>
  <si>
    <t>http://a100.gov.bc.ca/pub/pscismap/imageViewer.do?assessmentId=198859</t>
  </si>
  <si>
    <t>Well-used ford. Actual crossing location 11U 648220 5499799</t>
  </si>
  <si>
    <t>300.625474.584724.166401.616689</t>
  </si>
  <si>
    <t>Ford on old road.  Road is grassy. 8:44</t>
  </si>
  <si>
    <t>Morrisey Creek</t>
  </si>
  <si>
    <t>https://a100.gov.bc.ca/pub/pscismap/imageViewer.do?assessmentId=198857</t>
  </si>
  <si>
    <t>1004600086;1004600320;1004600470;1004603285;1004606678;1004606781;1024734206</t>
  </si>
  <si>
    <t>Four round culverts (1.4, 1.4, 1.0, 1.0m).  Width used is equal to estimated channel width because the crossing is fully backwatered with wetland type habitat. Very unlikely that there are other crossings on this tributary upstream or downstream (it is Hosmer Creek downstream) as there does not appear to be any roads. Confirmed that modelled crossing 4603285 (30m upstream) does not exist.  14:35</t>
  </si>
  <si>
    <t>Tributary to Hosmer Creek</t>
  </si>
  <si>
    <t>3rd Avenue</t>
  </si>
  <si>
    <t>3rd Ave</t>
  </si>
  <si>
    <t>1004600086;1004600129;1004600320;1004600470;1004603285;1004606678;1004606781;1024734206</t>
  </si>
  <si>
    <t>Ford. 14:15</t>
  </si>
  <si>
    <t>Victoria St</t>
  </si>
  <si>
    <t>300.625474.584724.780737</t>
  </si>
  <si>
    <t>Good flow with some decent lower gradient habitat upstream of the FSR. 13:24</t>
  </si>
  <si>
    <t>Elk FSR</t>
  </si>
  <si>
    <t>http://a100.gov.bc.ca/pub/pscismap/imageViewer.do?assessmentId=198850</t>
  </si>
  <si>
    <t>No modeled habitat but noted as med quality with some low gradient sections in field</t>
  </si>
  <si>
    <t>300.625474.584724.784790.351804</t>
  </si>
  <si>
    <t>300.625474.584724.784790</t>
  </si>
  <si>
    <t>Inlet drop ~5cm.  13:15</t>
  </si>
  <si>
    <t>1004601225;1004602074</t>
  </si>
  <si>
    <t>300.625474.584724.427766.552317</t>
  </si>
  <si>
    <t>ATV Trail. 13:00</t>
  </si>
  <si>
    <t>https://a100.gov.bc.ca/pub/pscismap/imageViewer.do?assessmentId=198841</t>
  </si>
  <si>
    <t>ATV trail</t>
  </si>
  <si>
    <t>300.625474.584724.250773</t>
  </si>
  <si>
    <t>Difficult to discern if slpe (&amp;gt;60%) downstream between the highway the Elk River is due to highway fill or was naturally occurring before highway installation.</t>
  </si>
  <si>
    <t>Tributary to Elk R</t>
  </si>
  <si>
    <t>http://a100.gov.bc.ca/pub/pscismap/imageViewer.do?assessmentId=198626</t>
  </si>
  <si>
    <t>No modeled habitat, noted as low quality habitat in field.</t>
  </si>
  <si>
    <t>Highway 3</t>
  </si>
  <si>
    <t>197542;98a6d14e-ea75-446a-80e5-8709bf2eb8e9;e86b513c-3dce-4b4a-a49e-e86e4dac935e</t>
  </si>
  <si>
    <t>This crossing is very full of debris and has been recently dredges.  Less than 30cm freeboard from top of aggraded gravels at inlet and top of pipe arch.  Newly installed overflow pipe (0.55 diameter) on left bank.</t>
  </si>
  <si>
    <t>PIPEARCH</t>
  </si>
  <si>
    <t>300.625474.584724.244249</t>
  </si>
  <si>
    <t>Concrete arch, &amp;gt;30% downstream of culvert for 10m likely from railway fill. Dry downstream with stagnant pools upstream.</t>
  </si>
  <si>
    <t>CRTBOX</t>
  </si>
  <si>
    <t>http://a100.gov.bc.ca/pub/pscismap/imageViewer.do?assessmentId=198468</t>
  </si>
  <si>
    <t>Passable concrete box culvert, low quality habitat, no modeled habitat</t>
  </si>
  <si>
    <t>Very low flow at time of survey and 0.5m inlet drop from debris. Very steep culvert, possibly 2 sections with further upstream section being much steeper.</t>
  </si>
  <si>
    <t>http://a100.gov.bc.ca/pub/pscismap/imageViewer.do?assessmentId=198467</t>
  </si>
  <si>
    <t>Noted as low qualty habitat with very low flow in field, no modeled habitat present.</t>
  </si>
  <si>
    <t>300.625474.584724.681419.561635</t>
  </si>
  <si>
    <t>300.625474.584724.681419</t>
  </si>
  <si>
    <t>Low, slow flow. Culvert completely backwatered.</t>
  </si>
  <si>
    <t>https://a100.gov.bc.ca/pub/pscismap/imageViewer.do?assessmentId=198454</t>
  </si>
  <si>
    <t>Barrier rated as potential barrier but slow moving stream and fully backwatered so unlikely to impede passage.</t>
  </si>
  <si>
    <t>Hornickel Creek</t>
  </si>
  <si>
    <t>300.625474.584724.735129</t>
  </si>
  <si>
    <t>Appears passable.</t>
  </si>
  <si>
    <t>http://a100.gov.bc.ca/pub/pscismap/imageViewer.do?assessmentId=198451</t>
  </si>
  <si>
    <t>No modeled key habitat but WCT observations in stream</t>
  </si>
  <si>
    <t>Open bottom arch culvert</t>
  </si>
  <si>
    <t>Dry channel. Culvert is embedded.</t>
  </si>
  <si>
    <t>Mt Mclean Road</t>
  </si>
  <si>
    <t>http://a100.gov.bc.ca/pub/pscismap/imageViewer.do?assessmentId=198445</t>
  </si>
  <si>
    <t xml:space="preserve">No modeled habitat and confirmed low quality in field. </t>
  </si>
  <si>
    <t xml:space="preserve">Embedded culvert on dry channel </t>
  </si>
  <si>
    <t>Mount McLean Road</t>
  </si>
  <si>
    <t>Mt McLean Dr</t>
  </si>
  <si>
    <t>300.625474.584724.336836</t>
  </si>
  <si>
    <t>Steep stream with good flow. FISS sample site 2593 near crossing location. Suspect too steep to be fish bearing.</t>
  </si>
  <si>
    <t>Hadner FSR</t>
  </si>
  <si>
    <t>http://a100.gov.bc.ca/pub/pscismap/imageViewer.do?assessmentId=198441</t>
  </si>
  <si>
    <t>Noted as likely to steep for fish in field; no modeled habitat</t>
  </si>
  <si>
    <t>Bridge.</t>
  </si>
  <si>
    <t>http://a100.gov.bc.ca/pub/pscismap/imageViewer.do?assessmentId=198440</t>
  </si>
  <si>
    <t>R08477 SEC.09 FSR</t>
  </si>
  <si>
    <t>http://a100.gov.bc.ca/pub/pscismap/imageViewer.do?assessmentId=198439</t>
  </si>
  <si>
    <t>Lladner Creek FSR</t>
  </si>
  <si>
    <t>1004605375;1004605556</t>
  </si>
  <si>
    <t>Crossing Creek</t>
  </si>
  <si>
    <t>Dry channel at time of survey, channel transitions to grass flats about 60 meters downstream.</t>
  </si>
  <si>
    <t>https://a100.gov.bc.ca/pub/pscismap/imageViewer.do?assessmentId=198427</t>
  </si>
  <si>
    <t>Dry channel at time of assessment, transitions into grass flats 60 m downstream of crossing.</t>
  </si>
  <si>
    <t>Low quality habitat, confirmed with Working Group</t>
  </si>
  <si>
    <t>FLNRO</t>
  </si>
  <si>
    <t>Elk Lakes Rd N</t>
  </si>
  <si>
    <t>300.625474.584724.705247</t>
  </si>
  <si>
    <t>Road is deactivated downstream so no crossings below (4607172, 4606929). Dry vegetated channel. Not likely fish bearing at this location.</t>
  </si>
  <si>
    <t>http://a100.gov.bc.ca/pub/pscismap/imageViewer.do?assessmentId=198424</t>
  </si>
  <si>
    <t xml:space="preserve">No modeled habitat, noted as low quality habitat (dry, vegetated)  in field. </t>
  </si>
  <si>
    <t>Spur off Elk River Main</t>
  </si>
  <si>
    <t>300.625474.584724.711904.088567</t>
  </si>
  <si>
    <t>Channelized downstream due to dredging for about 30m. Small stream, substrate primarily fines but some gravel present.</t>
  </si>
  <si>
    <t>Tributary to Lowe Creek</t>
  </si>
  <si>
    <t>http://a100.gov.bc.ca/pub/pscismap/imageViewer.do?assessmentId=198423</t>
  </si>
  <si>
    <t>300.625474.584724.747457</t>
  </si>
  <si>
    <t>Culvert slope estimate. Stream dredged upstream to remove sediments. Flows are slow through culvert and unlikely barrier for fry/parr for much of year. Crossing 4606244 is on deactivated spur upstream so very likely a ford, about 300m upstream same thing for 4604099.</t>
  </si>
  <si>
    <t>http://a100.gov.bc.ca/pub/pscismap/imageViewer.do?assessmentId=198421</t>
  </si>
  <si>
    <t>Notes indicate crossing lis likely passable most of the year for juveniles. No modeled habitat upstream</t>
  </si>
  <si>
    <t>300.625474.584724.412090.240087.525751</t>
  </si>
  <si>
    <t>East Alexander Rd</t>
  </si>
  <si>
    <t>Quad bridge.</t>
  </si>
  <si>
    <t>Alexander Rd</t>
  </si>
  <si>
    <t>300.625474.584724.412090.240087.415991</t>
  </si>
  <si>
    <t>Approx 18m across.</t>
  </si>
  <si>
    <t>Alexander Creek Trail</t>
  </si>
  <si>
    <t>300.625474.584724.412090.240087.321693</t>
  </si>
  <si>
    <t>1004603990;1024734526</t>
  </si>
  <si>
    <t>Bridge is in good condition</t>
  </si>
  <si>
    <t>Deadmans Pass</t>
  </si>
  <si>
    <t>300.625474.584724.412090.240087.618982</t>
  </si>
  <si>
    <t>300.625474.584724.166401.562778</t>
  </si>
  <si>
    <t>Log stringer bridge logs look old and rotten, as do the cross ties.</t>
  </si>
  <si>
    <t>Morrissey Cr</t>
  </si>
  <si>
    <t>None.</t>
  </si>
  <si>
    <t>Michel Ck</t>
  </si>
  <si>
    <t>Corbin Rail Rd</t>
  </si>
  <si>
    <t>1004600433;1004600434;1004600435;1004600436;1004600438;1004600440;1004600441;1004600442;1004600451;1004600452;1004600457;1004600835;1004601099;1004601913;1004602197;1004604205;1004604206;1004604208;1004604237;1004605096;1024760703;1024760705;da63680c-0ffd-447a-941b-d59e42c0fa8b</t>
  </si>
  <si>
    <t>300.625474.584724.412090.672587</t>
  </si>
  <si>
    <t>1004600433;1004600434;1004600435;1004600436;1004600438;1004600440;1004600441;1004600442;1004600451;1004600452;1004600457;1004600835;1004601099;1004601913;1004602197;1004604205;1004604206;1004604208;1004604237;1004605096;1024760703;1024760705;50254;50255;da63680c-0ffd-447a-941b-d59e42c0fa8b</t>
  </si>
  <si>
    <t>300.625474.584724.412090.627664</t>
  </si>
  <si>
    <t>Bridge is in good condition.</t>
  </si>
  <si>
    <t>Andy Good</t>
  </si>
  <si>
    <t>Corbin Hwy</t>
  </si>
  <si>
    <t>Corbin Rd</t>
  </si>
  <si>
    <t>Wheeler Creek</t>
  </si>
  <si>
    <t>300.625474.584724.412090.425403</t>
  </si>
  <si>
    <t>Wheeler N</t>
  </si>
  <si>
    <t>Wheeler Ck Rd</t>
  </si>
  <si>
    <t>1004600120;1004600433;1004600434;1004600435;1004600436;1004600438;1004600440;1004600441;1004600442;1004600451;1004600452;1004600457;1004600835;1004601099;1004601913;1004602197;1004604205;1004604206;1004604208;1004604237;1004605096;1004606741;1004606908;1024760703;1024760705;50254;50255;da63680c-0ffd-447a-941b-d59e42c0fa8b</t>
  </si>
  <si>
    <t>300.625474.584724.412090.520513</t>
  </si>
  <si>
    <t>Carbon Creek</t>
  </si>
  <si>
    <t>300.625474.584724.412090.482239</t>
  </si>
  <si>
    <t>Coal Leech Rd</t>
  </si>
  <si>
    <t>300.625474.584724.233916.797690</t>
  </si>
  <si>
    <t>Island Lake Loop</t>
  </si>
  <si>
    <t>Mt Fernie Park Rd</t>
  </si>
  <si>
    <t>Highway # 3</t>
  </si>
  <si>
    <t>Lizard Creek Bridge</t>
  </si>
  <si>
    <t>1004601125;62423</t>
  </si>
  <si>
    <t>300.625474.584724.478727.559714</t>
  </si>
  <si>
    <t>Culvert has been replaced with bridge.</t>
  </si>
  <si>
    <t>Flood event of 2013 caused debris torrent that wiped out culvert and resulted in a large deposit of cobbles and boulders. Crossing is now a ford. Should a structure be reconstructed at this location, it should consist of an OBS.</t>
  </si>
  <si>
    <t>Round Prairie</t>
  </si>
  <si>
    <t>HABITAT CONFIRMATION</t>
  </si>
  <si>
    <t>Bleasedel Creek</t>
  </si>
  <si>
    <t>1004604004;1004604005;1004604006;1004604012;1004604016;1004605651</t>
  </si>
  <si>
    <t>Bridge needs to be re-decked</t>
  </si>
  <si>
    <t>Forsyth Creek</t>
  </si>
  <si>
    <t>300.625474.584724.745570</t>
  </si>
  <si>
    <t>Bridge in good condition.</t>
  </si>
  <si>
    <t>1004600666;1004603242;1004603244;1004603263;1004603413;1004604060;1004604062;1004604114;1004604116;1004604117;1004604121;1004604611;1004604674;1004605430;1004605606;1004606284;1004606918;1004607028;1004607029;1004607409;1004607522;1024706649;197825;197827;61608;62181;62182</t>
  </si>
  <si>
    <t>300.625474.584724.501797.358067</t>
  </si>
  <si>
    <t>Fording River Highway</t>
  </si>
  <si>
    <t>1004600666;1004602974;1004603242;1004603244;1004603263;1004603413;1004603948;1004604060;1004604062;1004604098;1004604105;1004604114;1004604116;1004604117;1004604121;1004604147;1004604422;1004604461;1004604469;1004604481;1004604566;1004604611;1004604674;1004604943;1004605000;1004605053;1004605430;1004605606;1004605629;1004606108;1004606284;1004606581;1004606705;1004606710;1004606918;1004607028;1004607029;1004607409;1004607470;1004607522;1004607598;1024706649;1024734942;197825;197827;61608;62167;62181;62182;62413;62416</t>
  </si>
  <si>
    <t>Some damages on running surface</t>
  </si>
  <si>
    <t>Fording River Road</t>
  </si>
  <si>
    <t>Sulphur Springs Road FSR</t>
  </si>
  <si>
    <t>1004600666;1004602974;1004603242;1004603244;1004603263;1004603413;1004604060;1004604062;1004604114;1004604116;1004604117;1004604121;1004604422;1004604611;1004604674;1004604943;1004605430;1004605606;1004606284;1004606705;1004606710;1004606918;1004607028;1004607029;1004607409;1004607522;1024706649;197825;197827;61608;62167;62181;62182;62413;62416</t>
  </si>
  <si>
    <t>300.625474.584724.501797.113924</t>
  </si>
  <si>
    <t>Line Creek Road</t>
  </si>
  <si>
    <t>Ford at the mouth of Chauncey Creek should be replace by a bridge</t>
  </si>
  <si>
    <t>A bridge is needed here. Ewin Creek has high habitat value and traffic crossing the ford is impacting downstream habitat</t>
  </si>
  <si>
    <t>Todhunter Creek</t>
  </si>
  <si>
    <t>300.625474.584724.501797.421982.076515.031296</t>
  </si>
  <si>
    <t>300.625474.584724.501797.421982.076515</t>
  </si>
  <si>
    <t>Riparian area has been recently impacted by logging activities.</t>
  </si>
  <si>
    <t>Todhunter Creek Tributary</t>
  </si>
  <si>
    <t>Todhunter FSR</t>
  </si>
  <si>
    <t>300.625474.584724.501797.421982.503877</t>
  </si>
  <si>
    <t>Ewin Creek FSR</t>
  </si>
  <si>
    <t>West Ewin Creek Side Straw</t>
  </si>
  <si>
    <t>300.625474.584724.501797.421982.201219.140133</t>
  </si>
  <si>
    <t>West Ewin Creek</t>
  </si>
  <si>
    <t>300.625474.584724.501797.421982.201219.238571</t>
  </si>
  <si>
    <t>300.625474.584724.253915.286449</t>
  </si>
  <si>
    <t>Habitat confirmation conducted due to debris in stream that causes small drop across stream (0.2 - 0.6m high) just downstream of the bridge. 9:20</t>
  </si>
  <si>
    <t>Coal Creek Road</t>
  </si>
  <si>
    <t>https://www.newgraphenvironment.com/fish_passage_elk_2021_reporting/appendix---61504---coal-creek.html</t>
  </si>
  <si>
    <t xml:space="preserve">Prior to washout, this was a bridge with footings and rip rap intruding into the wetted channel margin and creating a cascade that was likely impeding fish passage. </t>
  </si>
  <si>
    <t>A major storm event on November 14-15, 2021 caused extensive damage to Coal Creek Road and changed the course of the river. This event may have washed out this crossing since the confirmation was completed._x000D_
Reassess if/when road is rebuilt.</t>
  </si>
  <si>
    <t>CWF</t>
  </si>
  <si>
    <t>Barrier reassessment</t>
  </si>
  <si>
    <t>CanWel Forest Products (TBC)</t>
  </si>
  <si>
    <t>Coal Creek FSR</t>
  </si>
  <si>
    <t>Coal Creek Rd</t>
  </si>
  <si>
    <t>300.625474.584724.253915.118908</t>
  </si>
  <si>
    <t>River Road Extension FSR</t>
  </si>
  <si>
    <t>300.625474.584724.253915.470785.395729</t>
  </si>
  <si>
    <t>Matheson Creek Road</t>
  </si>
  <si>
    <t>300.625474.584724.253915.526367</t>
  </si>
  <si>
    <t>Curbing on bridge is starting to rot.  Bridge needs a wash.</t>
  </si>
  <si>
    <t>300.625474.584724.253915.745865</t>
  </si>
  <si>
    <t>Rotten bridge deck.</t>
  </si>
  <si>
    <t>Pages Draw</t>
  </si>
  <si>
    <t>300.625474.584724.427766.222681</t>
  </si>
  <si>
    <t>Quad Bridge. Rotten Stringers</t>
  </si>
  <si>
    <t>300.625474.584724.427766.382229</t>
  </si>
  <si>
    <t>Bridge is very rotten and unsafe for vehichle travel.</t>
  </si>
  <si>
    <t>Bingay Creek</t>
  </si>
  <si>
    <t>300.625474.584724.721703</t>
  </si>
  <si>
    <t>Woodland Bridge.  Bridge is in good condition.</t>
  </si>
  <si>
    <t>1004600835;1004601913;1004602197;1024760703;1024760705</t>
  </si>
  <si>
    <t>300.625474.584724.412090.857109</t>
  </si>
  <si>
    <t>no fish observed but Michel Creek is known to contain Brook Trout, DV, RB, WCT, BT and MW, high habitat value</t>
  </si>
  <si>
    <t>1004601099;1004604205;1004604206;1004604208;1004604237;1004605096;da63680c-0ffd-447a-941b-d59e42c0fa8b</t>
  </si>
  <si>
    <t>Corbin Creek</t>
  </si>
  <si>
    <t>300.625474.584724.412090.780075.121180</t>
  </si>
  <si>
    <t>300.625474.584724.412090.780075</t>
  </si>
  <si>
    <t>wooden deck, NI-056, Corbin Creek is known to contain Brook Trout, MW and WCT</t>
  </si>
  <si>
    <t>Flathead</t>
  </si>
  <si>
    <t>Highway bridge, Michel Creek is known to contain Brook Trout, DV, RB, WCT, BT, MW</t>
  </si>
  <si>
    <t>Grady bridge.</t>
  </si>
  <si>
    <t>300.625474.584724.412090.654331</t>
  </si>
  <si>
    <t>unknown fish presence, C653-005, wooden deck rotting out, high habitat value</t>
  </si>
  <si>
    <t>unnamed tributary to Michel Creek</t>
  </si>
  <si>
    <t>North Wheeler</t>
  </si>
  <si>
    <t>300.625474.584724.412090.482239.243290</t>
  </si>
  <si>
    <t>high habitat value, C652-015, see pic of stream (lots of suspended sediment, not sure from where)</t>
  </si>
  <si>
    <t>unnamed tributary to Leach Creek</t>
  </si>
  <si>
    <t>Carbon</t>
  </si>
  <si>
    <t>300.625474.584724.412090.425403.292573</t>
  </si>
  <si>
    <t>wooden deck, unknown fish presence, WO-2539</t>
  </si>
  <si>
    <t>known to contain Brook Trout, WCT and MW according to Habitat Wizard, high habitat value</t>
  </si>
  <si>
    <t>1004600945;1004600956;1004605107;1004607575</t>
  </si>
  <si>
    <t>old bridge log abutments still in place, WCT known according to Habitat Wizard</t>
  </si>
  <si>
    <t>wooden deck, unknown fish presence</t>
  </si>
  <si>
    <t>Coal-Leach</t>
  </si>
  <si>
    <t>1004600118;1004600120;1004600378;1004600380;1004600381;1004600433;1004600434;1004600435;1004600436;1004600438;1004600440;1004600441;1004600442;1004600451;1004600452;1004600457;1004600588;1004600594;1004600835;1004600851;1004600945;1004600956;1004601099;1004601519;1004601913;1004602197;1004604205;1004604206;1004604208;1004604237;1004605096;1004605107;1004606741;1004606908;1004607003;1004607575;1024760703;1024760705;50254;50255;da63680c-0ffd-447a-941b-d59e42c0fa8b</t>
  </si>
  <si>
    <t>concrete deck, C653-004, Michel Creek is known to contain Brook Trout, DV, RB, WCT, BT and MW according to Habitat Wizard</t>
  </si>
  <si>
    <t>Coal-Leach Road FSR</t>
  </si>
  <si>
    <t>300.625474.584724.166401.205702</t>
  </si>
  <si>
    <t>high value habitat, no fish observed but known to contain Brook Trout, DV, MW, WCT</t>
  </si>
  <si>
    <t>Morrisey</t>
  </si>
  <si>
    <t>300.625474.584724.166401.368467</t>
  </si>
  <si>
    <t>unknown fish presence, high value habitat, old log cribs still in place</t>
  </si>
  <si>
    <t>Morrisey spur</t>
  </si>
  <si>
    <t>Concrete bridge in good condition.</t>
  </si>
  <si>
    <t>Morrissey FSR</t>
  </si>
  <si>
    <t>300.625474.584724.166401.293722</t>
  </si>
  <si>
    <t>Concrete bridge deck curbing is very rotten.</t>
  </si>
  <si>
    <t>no fish observed but Brook Trout, DV, MW, WCT known according to Habitat Wizard, large deact near railroad</t>
  </si>
  <si>
    <t>unnamed road off River Road</t>
  </si>
  <si>
    <t>Trans-Canada Trail</t>
  </si>
  <si>
    <t>TRAIL</t>
  </si>
  <si>
    <t>rehabbed</t>
  </si>
  <si>
    <t>300.625474.584724.166401.114751</t>
  </si>
  <si>
    <t>Lodgepole</t>
  </si>
  <si>
    <t>Lodgepole Creek FSR</t>
  </si>
  <si>
    <t>D</t>
  </si>
  <si>
    <t>[ "313922", "313923" ]</t>
  </si>
  <si>
    <t>1024734256;1004600143;1024734251;1024734250;11e03b9a-0a3f-4022-b534-7e3de9eece2e</t>
  </si>
  <si>
    <t>300.625474.584724.270056.244535</t>
  </si>
  <si>
    <t>300.625474.584724.270056</t>
  </si>
  <si>
    <t>[ "407662", "409842" ]</t>
  </si>
  <si>
    <t>300.625474.584724.501797.805402.291908</t>
  </si>
  <si>
    <t>1004605556;197527;11e03b9a-0a3f-4022-b534-7e3de9eece2e</t>
  </si>
  <si>
    <t>300.625474.584724.631731.472026</t>
  </si>
  <si>
    <t>Crossing Creek FSR</t>
  </si>
  <si>
    <t>197527;11e03b9a-0a3f-4022-b534-7e3de9eece2e</t>
  </si>
  <si>
    <t>[ "233262" ]</t>
  </si>
  <si>
    <t>1004606818;1004600323;11e03b9a-0a3f-4022-b534-7e3de9eece2e</t>
  </si>
  <si>
    <t>300.625474.584724.412090.240087.140502.125168</t>
  </si>
  <si>
    <t>[ "409842" ]</t>
  </si>
  <si>
    <t>300.625474.584724.501797.868261</t>
  </si>
  <si>
    <t>[ "459982", "459983" ]</t>
  </si>
  <si>
    <t>1004606418;62425;197564;62423;11e03b9a-0a3f-4022-b534-7e3de9eece2e</t>
  </si>
  <si>
    <t>300.625474.584724.478727.797957</t>
  </si>
  <si>
    <t>Approximately 15 fish (WCT) at outlet pool with lenghtup to approx. 170mm.  Road network incorrectly mapped.  Road crosses stream twice in 200 m due to channel jumping banks approximately 175 m upstream.</t>
  </si>
  <si>
    <t>http://a100.gov.bc.ca/pub/pscismap/imageViewer.do?habitatConfirmationId=1366</t>
  </si>
  <si>
    <t>No modeled habitat but WCT observations upstream and dwonstream. Consult WG to determine next steps.</t>
  </si>
  <si>
    <t>62425;197564;62423;11e03b9a-0a3f-4022-b534-7e3de9eece2e</t>
  </si>
  <si>
    <t>[ "405482", "405483" ]</t>
  </si>
  <si>
    <t>197580;197583;11e03b9a-0a3f-4022-b534-7e3de9eece2e</t>
  </si>
  <si>
    <t>Baldrey Creek</t>
  </si>
  <si>
    <t>300.625474.584724.280981.367024</t>
  </si>
  <si>
    <t>300.625474.584724.280981</t>
  </si>
  <si>
    <t>Habitat Wizard identified WCT and EB 600 m downstream. The improvement would be to replace with larger closed bottom round culvert. With permission from the landowner, a more extensive habitat review and sampling for fish presence is recommended, if this is to be considered further. The length of habitat available from the modeling exercise was low contributing to this being a low priority for further work.</t>
  </si>
  <si>
    <t>https://a100.gov.bc.ca/pub/pscismap/imageViewer.do?assessmentId=201321</t>
  </si>
  <si>
    <t>Characterized as low quality habitat but WCT obs point 600 m downstream. Recommend excluding or habitat confirmation as next steps</t>
  </si>
  <si>
    <t>Kmiecik Road</t>
  </si>
  <si>
    <t>Kmiecik Rd</t>
  </si>
  <si>
    <t>[ "152602" ]</t>
  </si>
  <si>
    <t>1004602170;11e03b9a-0a3f-4022-b534-7e3de9eece2e</t>
  </si>
  <si>
    <t>300.625474.584724.253915.470785.697834</t>
  </si>
  <si>
    <t>[ "82842" ]</t>
  </si>
  <si>
    <t>50276;1004600115;1004606794;1004600350;11e03b9a-0a3f-4022-b534-7e3de9eece2e</t>
  </si>
  <si>
    <t>300.625474.584724.412090.345758.034402</t>
  </si>
  <si>
    <t>300.625474.584724.412090.345758</t>
  </si>
  <si>
    <t>gas pipeline access road, unknown fish presence</t>
  </si>
  <si>
    <t>gasline beside Corbin Hwy</t>
  </si>
  <si>
    <t>1004600115;1004606794;1004600350;11e03b9a-0a3f-4022-b534-7e3de9eece2e</t>
  </si>
  <si>
    <t>railroad crossing, unknown fish presence</t>
  </si>
  <si>
    <t>[ "207102" ]</t>
  </si>
  <si>
    <t>1004604422;11e03b9a-0a3f-4022-b534-7e3de9eece2e</t>
  </si>
  <si>
    <t>Greenhills Creek</t>
  </si>
  <si>
    <t>300.625474.584724.501797.317242</t>
  </si>
  <si>
    <t>[ "239802" ]</t>
  </si>
  <si>
    <t>1004606705;11e03b9a-0a3f-4022-b534-7e3de9eece2e</t>
  </si>
  <si>
    <t>300.625474.584724.501797.326741</t>
  </si>
  <si>
    <t>[ "15262" ]</t>
  </si>
  <si>
    <t>1004601193;1004602341;1004600042;11e03b9a-0a3f-4022-b534-7e3de9eece2e</t>
  </si>
  <si>
    <t>Nordstrum Creek</t>
  </si>
  <si>
    <t>300.625474.584724.485298.074097</t>
  </si>
  <si>
    <t>300.625474.584724.485298</t>
  </si>
  <si>
    <t>[ "30522" ]</t>
  </si>
  <si>
    <t>1004606781;1004600086;11e03b9a-0a3f-4022-b534-7e3de9eece2e</t>
  </si>
  <si>
    <t>300.625474.584724.318577.067207.596990</t>
  </si>
  <si>
    <t>Clode Creek</t>
  </si>
  <si>
    <t>300.625474.584724.501797.772151</t>
  </si>
  <si>
    <t>[ "337902", "337903" ]</t>
  </si>
  <si>
    <t>1024734755;1024734741;1024734739;1024734740;1024734738;1024734737;1004602419;1004601457;1024734735;1004606788;1004600084;11e03b9a-0a3f-4022-b534-7e3de9eece2e</t>
  </si>
  <si>
    <t>300.625474.584724.344439.251246</t>
  </si>
  <si>
    <t>300.625474.584724.344439</t>
  </si>
  <si>
    <t>1024734741;1024734739;1024734740;1024734738;1024734737;1004602419;1004601457;1024734735;1004606788;1004600084;11e03b9a-0a3f-4022-b534-7e3de9eece2e</t>
  </si>
  <si>
    <t>1024734755;1024734756</t>
  </si>
  <si>
    <t>1024734739;1024734740;1024734738;1024734737;1004602419;1004601457;1024734735;1004606788;1004600084;11e03b9a-0a3f-4022-b534-7e3de9eece2e</t>
  </si>
  <si>
    <t>1024734741;1024734755;1024734756</t>
  </si>
  <si>
    <t>1024734740;1024734738;1024734737;1004602419;1004601457;1024734735;1004606788;1004600084;11e03b9a-0a3f-4022-b534-7e3de9eece2e</t>
  </si>
  <si>
    <t>1024734739;1024734741;1024734755;1024734756</t>
  </si>
  <si>
    <t>1024734738;1024734737;1004602419;1004601457;1024734735;1004606788;1004600084;11e03b9a-0a3f-4022-b534-7e3de9eece2e</t>
  </si>
  <si>
    <t>1024734739;1024734740;1024734741;1024734755;1024734756</t>
  </si>
  <si>
    <t>1024734737;1004602419;1004601457;1024734735;1004606788;1004600084;11e03b9a-0a3f-4022-b534-7e3de9eece2e</t>
  </si>
  <si>
    <t>[ "405482" ]</t>
  </si>
  <si>
    <t>197583;11e03b9a-0a3f-4022-b534-7e3de9eece2e</t>
  </si>
  <si>
    <t>Bean Creek</t>
  </si>
  <si>
    <t>Fish were historically sampled upstream (BT, WCT, and EB in 1990; Province of BC 2024). The assessment identified high value habitat immediately upstream of the crossing, with fish observed 250 m downstream. There were no barriers evident in the 300 m reviewed downstream of the culvert. The gradient upstream of the culvert remained low (2%). There was a debris jam within the culvert. It was private land upstream, and with landownerâ€™s consent, a habitat confirmation  with fish sampling is recommended to verify value and available upstream habitat length. The likely crossing fix would be to replace with an open bottom structure, or a streambed simulation closed bottom culvert of approx. 2.5 m diameter. This would ensure passage for all life-stages at all flows to the extensive length of stream available upstream.</t>
  </si>
  <si>
    <t>Dicken Road</t>
  </si>
  <si>
    <t>http://a100.gov.bc.ca/pub/pscismap/imageViewer.do?assessmentId=201310</t>
  </si>
  <si>
    <t>Fish present downstream. Habitat confirmation recommended.</t>
  </si>
  <si>
    <t>Upstream habitat confirmation was not completed due to private land. Complete habitat confirmation upstream</t>
  </si>
  <si>
    <t>Habitat confirmation (data deficient structures only)</t>
  </si>
  <si>
    <t>MOTI</t>
  </si>
  <si>
    <t>Dicken Rd</t>
  </si>
  <si>
    <t>[ "143882", "143883" ]</t>
  </si>
  <si>
    <t>1004601762;1024734150;1004601761;1004600195;1004600015;11e03b9a-0a3f-4022-b534-7e3de9eece2e</t>
  </si>
  <si>
    <t>300.625474.584724.180931.336858</t>
  </si>
  <si>
    <t>1024734150;1004601761;1004600195;1004600015;11e03b9a-0a3f-4022-b534-7e3de9eece2e</t>
  </si>
  <si>
    <t>1004601754;1004601762</t>
  </si>
  <si>
    <t>1004601761;1004600195;1004600015;11e03b9a-0a3f-4022-b534-7e3de9eece2e</t>
  </si>
  <si>
    <t>[ "19622" ]</t>
  </si>
  <si>
    <t>1004600045;1004600189;1004600051;11e03b9a-0a3f-4022-b534-7e3de9eece2e</t>
  </si>
  <si>
    <t>300.625474.584724.574320.362825</t>
  </si>
  <si>
    <t>300.625474.584724.574320</t>
  </si>
  <si>
    <t>Dawson Cres</t>
  </si>
  <si>
    <t>1004600189;1004600051;11e03b9a-0a3f-4022-b534-7e3de9eece2e</t>
  </si>
  <si>
    <t>Deerborne Dr</t>
  </si>
  <si>
    <t>[ "337902" ]</t>
  </si>
  <si>
    <t>1024734738;1024734739;1024734740;1024734741;1024734755;1024734756</t>
  </si>
  <si>
    <t>1004602419;1004601457;1024734735;1004606788;1004600084;11e03b9a-0a3f-4022-b534-7e3de9eece2e</t>
  </si>
  <si>
    <t>300.625474.584724.501797.552259</t>
  </si>
  <si>
    <t>300.625474.584724.412090.303023</t>
  </si>
  <si>
    <t>[ "28342" ]</t>
  </si>
  <si>
    <t>1004606785;1004600085;11e03b9a-0a3f-4022-b534-7e3de9eece2e</t>
  </si>
  <si>
    <t>300.625474.584724.329905.280449</t>
  </si>
  <si>
    <t>300.625474.584724.329905</t>
  </si>
  <si>
    <t>[ "313922" ]</t>
  </si>
  <si>
    <t>1004600143;1024734251;1024734250;11e03b9a-0a3f-4022-b534-7e3de9eece2e</t>
  </si>
  <si>
    <t>1024734255;1024734256</t>
  </si>
  <si>
    <t>1024734251;1024734250;11e03b9a-0a3f-4022-b534-7e3de9eece2e</t>
  </si>
  <si>
    <t>6th Ave</t>
  </si>
  <si>
    <t>300.625474.584724.501797.613540.303843</t>
  </si>
  <si>
    <t>300.625474.584724.501797.613540</t>
  </si>
  <si>
    <t>300.625474.584724.158677</t>
  </si>
  <si>
    <t>300.625474.584724.253915.273759</t>
  </si>
  <si>
    <t>[ "320462" ]</t>
  </si>
  <si>
    <t>300.625474.584724.412090.240087.386148.411292.290753</t>
  </si>
  <si>
    <t>300.625474.584724.412090.240087.386148.411292</t>
  </si>
  <si>
    <t>300.625474.584724.788455</t>
  </si>
  <si>
    <t>Dry at the time of the assessment.  Inlet drop of 10cm. 11:51</t>
  </si>
  <si>
    <t>Low quality habitat, dry at time of assessment. Recommend excluding as no key upstream habitat</t>
  </si>
  <si>
    <t>300.625474.584724.412090.422790</t>
  </si>
  <si>
    <t>[ "429462" ]</t>
  </si>
  <si>
    <t>50185;11e03b9a-0a3f-4022-b534-7e3de9eece2e</t>
  </si>
  <si>
    <t>Mid section of barrel caving. Erosion around outlet.</t>
  </si>
  <si>
    <t>Lodgepole FSR</t>
  </si>
  <si>
    <t>http://a100.gov.bc.ca/pub/pscismap/imageViewer.do?habitatConfirmationId=1383</t>
  </si>
  <si>
    <t>Confirmed WCT parr upstream and fry downstream. Short habitat gain (220 m) to natural cascade. Determine whether to advance.</t>
  </si>
  <si>
    <t>1024735335;11e03b9a-0a3f-4022-b534-7e3de9eece2e</t>
  </si>
  <si>
    <t>300.625474.584724.816044</t>
  </si>
  <si>
    <t>197572;11e03b9a-0a3f-4022-b534-7e3de9eece2e</t>
  </si>
  <si>
    <t>300.625474.584724.213111.249850</t>
  </si>
  <si>
    <t>Stream dry at time of survey. Three barrels, 1.2m in diameter. All three very similar elevation, all perched .2-.50m above substrate.</t>
  </si>
  <si>
    <t>http://a100.gov.bc.ca/pub/pscismap/imageViewer.do?assessmentId=198471</t>
  </si>
  <si>
    <t>Low quality habitat, dry at time of assessment. Recommend exclusion with no key upstream habitat</t>
  </si>
  <si>
    <t>Stream dry at time of survey. 2 barrels (0.80 and 1.5m in diameter), similar heights but 1.5m slightly lower. Smaller barrel inlet damaged.</t>
  </si>
  <si>
    <t>Low quality habitat, dry at time of assessment. Recommend exclusion due to no key upstream habitat</t>
  </si>
  <si>
    <t>CP Rail</t>
  </si>
  <si>
    <t>Thompson Rd</t>
  </si>
  <si>
    <t>Habitat Wizard identified WCT and EB 600 m downstream, and no barriers present. The channel was dry at the time of assessment. A detailed habitat assessment was not conducted due to private property constraints. Given the ephemeral nature of the channel and low habitat gain potential, further assessment and improvements is considered a low priority. If further assessment was to be conducted, permission from the landowner would first be required. The applicable improvement could be to replace the two existing 0.6 m diameter culverts with one suitably sized culvert (1 m diameter minimum).</t>
  </si>
  <si>
    <t>http://a100.gov.bc.ca/pub/pscismap/imageViewer.do?assessmentId=201309</t>
  </si>
  <si>
    <t>WCT observation 600 m downstream.</t>
  </si>
  <si>
    <t>Dry channel. Recommend excluding due to lack of habitat</t>
  </si>
  <si>
    <t>300.625474.584724.621147</t>
  </si>
  <si>
    <t>300.625474.584724.195960.142132</t>
  </si>
  <si>
    <t>300.625474.584724.195960</t>
  </si>
  <si>
    <t>300.625474.584724.501797.605383</t>
  </si>
  <si>
    <t>50254;11e03b9a-0a3f-4022-b534-7e3de9eece2e</t>
  </si>
  <si>
    <t>Stream impacted by beaver activity. The crossing was comprised of three culverts, side by side, all with beaver grates at inlets and outlets. The culverts required maintenance due to accumulation of woody debris and associated inlet drops. A host of fish species were known to be present downstream in Michel Creek, and WCT and EB were previously sampled upstream in the tributary (in 2014 and 2015; Province of BC 2024). There were no barriers evident in the 300 m reviewed upstream and 30 m downstream (site 50254) of the culvert. The gradient upstream of the culvert was low at 2%. An open bottom structure, or a larger diameter culvert would help preclude damming and improve fish movement and floodplain processes.</t>
  </si>
  <si>
    <t>Unnamed Trib to Michel Crk</t>
  </si>
  <si>
    <t>https://a100.gov.bc.ca/pub/acat/documents/r43047/PD13TFE006_VAST_FinalReport_1405379598103_5374008940.pdf</t>
  </si>
  <si>
    <t xml:space="preserve">North Coal may have potential plans for this crossing. Need to determine the Brook Trout situation in the wetland before committing to any rehabilitation of this structure. </t>
  </si>
  <si>
    <t>High quality habitat with WCT upstream. EB downstream. Beaver grates and debris buildup causing inlet drops. Recommend advancing as priority barrier but need to determine EB risk first.</t>
  </si>
  <si>
    <t>North Coal?</t>
  </si>
  <si>
    <t>PSCIS assessment identified this crossing to only be a potential barrier. EB were evident immediately upstream and downstream of crossing. The host of fish species were also known 100 m downstream in Michel Creek. Upstream habitat was significantly impacted by beaver activity (Crossing 50255 was within 30 m upstream). An open bottom structure, or a larger diameter culvert would help preclude damming and improve fish movement and floodplain processes.</t>
  </si>
  <si>
    <t>Corbin Highway</t>
  </si>
  <si>
    <t>http://a100.gov.bc.ca/pub/pscismap/imageViewer.do?assessmentId=103147</t>
  </si>
  <si>
    <t>High quality habitat. Crossing heavily impacted by beaver activity. Recommend advancing to priority barrier but need to determine EB risk first.</t>
  </si>
  <si>
    <t>300.625474.584724.412090.486369.231712</t>
  </si>
  <si>
    <t>[ "359702" ]</t>
  </si>
  <si>
    <t>1024760705;1024760703;11e03b9a-0a3f-4022-b534-7e3de9eece2e</t>
  </si>
  <si>
    <t>300.625474.584724.412090.893548.194553</t>
  </si>
  <si>
    <t>300.625474.584724.412090.893548</t>
  </si>
  <si>
    <t>300.625474.584724.412090.893548.072331</t>
  </si>
  <si>
    <t>[ "167862" ]</t>
  </si>
  <si>
    <t>1004602974;11e03b9a-0a3f-4022-b534-7e3de9eece2e</t>
  </si>
  <si>
    <t>300.625474.584724.501797.178051.151649</t>
  </si>
  <si>
    <t>Habitat value medium based on small channel with low flow, absence of gravels, and high overhanging vegetation. Culvert was a barrier. The habitat confirmation assessment only went 150 m downstream and 300 m upstream, with no fish sampling completed due to very shallow stream depths and lack of remaining field time. Although Habitat Wizard only showed the nearest fish point to be 2.64 km downstream (WCT near confluence with the Fording R), it is generally known that fish are present in Grace Creek downstream of the culvert with no barrier present downstream to the Fording River. Replace with an open bottom crossing or a closed bottom structure with streambed simulation</t>
  </si>
  <si>
    <t>Grace Creek</t>
  </si>
  <si>
    <t>Line Road</t>
  </si>
  <si>
    <t>http://a100.gov.bc.ca/pub/pscismap/imageViewer.do?assessmentId=201315</t>
  </si>
  <si>
    <t>Culvert likely at least partially passable with some maintenance to remove debris causing inlet drop.</t>
  </si>
  <si>
    <t>Small stream with mostly fine substrates. WCT presence this high in system unknown. 371 m modeled rearing habitat upstream. Recommend non-actionable</t>
  </si>
  <si>
    <t>[ "420742", "420743" ]</t>
  </si>
  <si>
    <t>1200000036;199903;199904;11e03b9a-0a3f-4022-b534-7e3de9eece2e</t>
  </si>
  <si>
    <t>CULVERT</t>
  </si>
  <si>
    <t>USER_CROSSINGS_MISC</t>
  </si>
  <si>
    <t>300.625474.584724.501797.544763</t>
  </si>
  <si>
    <t>1004605107;11e03b9a-0a3f-4022-b534-7e3de9eece2e</t>
  </si>
  <si>
    <t>Bray Creek</t>
  </si>
  <si>
    <t>300.625474.584724.233916.440504.069664</t>
  </si>
  <si>
    <t>[ "143882" ]</t>
  </si>
  <si>
    <t>1004601754;1004601762;1024734150</t>
  </si>
  <si>
    <t>1004600195;1004600015;11e03b9a-0a3f-4022-b534-7e3de9eece2e</t>
  </si>
  <si>
    <t>300.625474.584724.180931.170128</t>
  </si>
  <si>
    <t>1004601754;1004601761;1004601762;1024734150</t>
  </si>
  <si>
    <t>1004600015;11e03b9a-0a3f-4022-b534-7e3de9eece2e</t>
  </si>
  <si>
    <t>300.625474.584724.186534</t>
  </si>
  <si>
    <t>1004600715;1004600739;1004600131;1004606675;1004606677;1004600126;1004606815;1004600735;1004606818;1004600323;11e03b9a-0a3f-4022-b534-7e3de9eece2e</t>
  </si>
  <si>
    <t>300.625474.584724.412090.240087.140502.353023</t>
  </si>
  <si>
    <t>1004600739;1004600131;1004606675;1004606677;1004600126;1004606815;1004600735;1004606818;1004600323;11e03b9a-0a3f-4022-b534-7e3de9eece2e</t>
  </si>
  <si>
    <t>1004600715;1004600736;1004601393;1004602454;1024734509</t>
  </si>
  <si>
    <t>1004600131;1004606675;1004606677;1004600126;1004606815;1004600735;1004606818;1004600323;11e03b9a-0a3f-4022-b534-7e3de9eece2e</t>
  </si>
  <si>
    <t>300.625474.584724.412090.240087.140502.310825</t>
  </si>
  <si>
    <t>Crowsnest Rest Area</t>
  </si>
  <si>
    <t>1004600715;1004600736;1004600739;1004601393;1004602454;1024734509</t>
  </si>
  <si>
    <t>1004606675;1004606677;1004600126;1004606815;1004600735;1004606818;1004600323;11e03b9a-0a3f-4022-b534-7e3de9eece2e</t>
  </si>
  <si>
    <t>1004600131;1004600715;1004600736;1004600739;1004601393;1004602454;1024734509</t>
  </si>
  <si>
    <t>1004606677;1004600126;1004606815;1004600735;1004606818;1004600323;11e03b9a-0a3f-4022-b534-7e3de9eece2e</t>
  </si>
  <si>
    <t>1004600131;1004600715;1004600736;1004600739;1004601393;1004602454;1004606675;1024734509</t>
  </si>
  <si>
    <t>1004600126;1004606815;1004600735;1004606818;1004600323;11e03b9a-0a3f-4022-b534-7e3de9eece2e</t>
  </si>
  <si>
    <t>300.625474.584724.412090.240087.140502.255126</t>
  </si>
  <si>
    <t>300.625474.584724.218642</t>
  </si>
  <si>
    <t>[ "93742" ]</t>
  </si>
  <si>
    <t>1004600588;1004600851;11e03b9a-0a3f-4022-b534-7e3de9eece2e</t>
  </si>
  <si>
    <t>300.625474.584724.412090.486369.916368</t>
  </si>
  <si>
    <t>1004600851;11e03b9a-0a3f-4022-b534-7e3de9eece2e</t>
  </si>
  <si>
    <t>300.625474.584724.412090.486369.886917</t>
  </si>
  <si>
    <t>300.625474.584724.205406</t>
  </si>
  <si>
    <t>1004607409;11e03b9a-0a3f-4022-b534-7e3de9eece2e</t>
  </si>
  <si>
    <t>300.625474.584724.501797.540512</t>
  </si>
  <si>
    <t>Tunnel Creek</t>
  </si>
  <si>
    <t>300.625474.584724.157128</t>
  </si>
  <si>
    <t>Approximaely 15 fish in outlet pool (50 - 200mm).  Culvert has had work recently.  Fry observed upstream throughout most of area surveyed.</t>
  </si>
  <si>
    <t>http://a100.gov.bc.ca/pub/pscismap/imageViewer.do?habitatConfirmationId=1382</t>
  </si>
  <si>
    <t>Noted as having abundant gravels with WCT observed upstream and downstream. Recommend advancing to priority barrier.</t>
  </si>
  <si>
    <t>197833;11e03b9a-0a3f-4022-b534-7e3de9eece2e</t>
  </si>
  <si>
    <t>Concrete structure has been built to facilitate fish passage.  There are baffles and installed within one side of the culvert which embedded this area of the culvert with substrate. 15:45</t>
  </si>
  <si>
    <t>CP Railway</t>
  </si>
  <si>
    <t>https://a100.gov.bc.ca/pub/pscismap/imageViewer.do?assessmentId=198854</t>
  </si>
  <si>
    <t>Unclear on passage status or habitat values. Consult WG re: in-depth barrier assessment</t>
  </si>
  <si>
    <t>Culvert has been modified to facilitate fish passage. Previous Yellowstone CT stocking in stream</t>
  </si>
  <si>
    <t>Inlet drop ~0.75m. Backwatering done in past to reduce outlet drop.  Water intake downstream form the culvert. 15:12</t>
  </si>
  <si>
    <t>http://a100.gov.bc.ca/pub/pscismap/imageViewer.do?assessmentId=198853</t>
  </si>
  <si>
    <t>Previously backwatered but no longer functional, inlet drop present</t>
  </si>
  <si>
    <t>WCT records in stream</t>
  </si>
  <si>
    <t>Very close to Lizard Creek mainstem.  10:43</t>
  </si>
  <si>
    <t>Mt. Fernie Park Road</t>
  </si>
  <si>
    <t>REMEDIATED</t>
  </si>
  <si>
    <t>https://www.newgraphenvironment.com/fish_passage_elk_2020_reporting/appendix---50152---tributary-to-lizard-creek.html</t>
  </si>
  <si>
    <t>Post-rehabilitation monitoring identified deficiencies to be addressed in summer 2025</t>
  </si>
  <si>
    <t>Correct deficiencies (rehabilitated structures only)</t>
  </si>
  <si>
    <t>Replacement - OBS</t>
  </si>
  <si>
    <t>Post-rehabilitation monitoring</t>
  </si>
  <si>
    <t>Rehabilitated barrier</t>
  </si>
  <si>
    <t>BC Parks</t>
  </si>
  <si>
    <t>Mount Fernie Parkway</t>
  </si>
  <si>
    <t>Trib to Lizard Cr @ Mt Fernie Pk Rd (62505)</t>
  </si>
  <si>
    <t>300.625474.584724.519979</t>
  </si>
  <si>
    <t>1004601251;1004601285;1004601374;ad12484a-f905-460d-a7ec-509f7fd6c892</t>
  </si>
  <si>
    <t>1004606821;11e03b9a-0a3f-4022-b534-7e3de9eece2e</t>
  </si>
  <si>
    <t>Erickson Creek</t>
  </si>
  <si>
    <t>300.625474.584724.412090.232117.098839</t>
  </si>
  <si>
    <t>300.625474.584724.412090.232117</t>
  </si>
  <si>
    <t>1004601251;1004601285;1004601374;1004601403;ad12484a-f905-460d-a7ec-509f7fd6c892</t>
  </si>
  <si>
    <t>50276;50277</t>
  </si>
  <si>
    <t>1004606794;1004600350;11e03b9a-0a3f-4022-b534-7e3de9eece2e</t>
  </si>
  <si>
    <t>Loop Ridge Rd</t>
  </si>
  <si>
    <t>1004600115;50276;50277</t>
  </si>
  <si>
    <t>1004600350;11e03b9a-0a3f-4022-b534-7e3de9eece2e</t>
  </si>
  <si>
    <t>1004600115;1004606794;50276;50277</t>
  </si>
  <si>
    <t>300.625474.584724.639292.412452</t>
  </si>
  <si>
    <t>300.625474.584724.501797.540284</t>
  </si>
  <si>
    <t>1004606800;11e03b9a-0a3f-4022-b534-7e3de9eece2e</t>
  </si>
  <si>
    <t>300.625474.584724.178595.065566</t>
  </si>
  <si>
    <t>300.625474.584724.178595</t>
  </si>
  <si>
    <t>Domin Rd</t>
  </si>
  <si>
    <t>[ "459982" ]</t>
  </si>
  <si>
    <t>Highest value habitat seems to be in adjacent section of stream mapped as tributary to Grave Creek however this stream is mapped as the mainstem.  Some pools and gravels suitable for spawning present.  Adult WCT observed upstream at outlet pool of next culvert upstream.  Lotic conducting 2 pass closed site removal electrofishing in this section of stream or immediately adjacent on same day as survey.</t>
  </si>
  <si>
    <t>http://a100.gov.bc.ca/pub/pscismap/imageViewer.do?habitatConfirmationId=1365</t>
  </si>
  <si>
    <t>No modeled habitat but WCT points upstream and downstream. Noted as med quality habitat. Engage with WG to determine next steps.</t>
  </si>
  <si>
    <t>Stream dry at time of survey, channel not visible for about 40 downstream. Water and channel appear about 65m downstream of crossing. Upstream side of crossing inlet not visible, covered by road fill or deep organic debris. Channel upstream non-existent and dry. This system (labelled as Grave creek on the map) must be a side channel or remnant channel.</t>
  </si>
  <si>
    <t>http://a100.gov.bc.ca/pub/pscismap/imageViewer.do?assessmentId=198464</t>
  </si>
  <si>
    <t xml:space="preserve">Noted as low quality habitat in field, with dewatering in sections upstream and downstream of road. However, WCT obs upstream and med quality habitat at crossings id'd upstream. </t>
  </si>
  <si>
    <t>Newly installed culvert within provincial park. Paved.</t>
  </si>
  <si>
    <t>Mt.Fernie Park Rd</t>
  </si>
  <si>
    <t>High quality WCT habitat cut off from Lizard Creek. Lizard complex including all tributaries identified as critical habitat by working group.</t>
  </si>
  <si>
    <t>Fundraise</t>
  </si>
  <si>
    <t>Moderate</t>
  </si>
  <si>
    <t>No</t>
  </si>
  <si>
    <t>Engineering design</t>
  </si>
  <si>
    <t>Priority barrier</t>
  </si>
  <si>
    <t>Tributary to Lizard Creek (Stove Creek)</t>
  </si>
  <si>
    <t>Stove Cr @ Mt Fernie Pk Rd (50152)</t>
  </si>
  <si>
    <t>1004606721;11e03b9a-0a3f-4022-b534-7e3de9eece2e</t>
  </si>
  <si>
    <t>300.625474.584724.128988</t>
  </si>
  <si>
    <t>Good rearing habitat available. Good candidate for restoration work.</t>
  </si>
  <si>
    <t>Fording River Tributary</t>
  </si>
  <si>
    <t>[ "161322" ]</t>
  </si>
  <si>
    <t>1004602324;1024734829;1024734830</t>
  </si>
  <si>
    <t>300.625474.584724.451535.232924</t>
  </si>
  <si>
    <t>1004606678;1004600320;11e03b9a-0a3f-4022-b534-7e3de9eece2e</t>
  </si>
  <si>
    <t>300.625474.584724.318577.067207.185013</t>
  </si>
  <si>
    <t>1004600320;11e03b9a-0a3f-4022-b534-7e3de9eece2e</t>
  </si>
  <si>
    <t>1004600470;1004606678</t>
  </si>
  <si>
    <t>1004600699;11e03b9a-0a3f-4022-b534-7e3de9eece2e</t>
  </si>
  <si>
    <t>300.625474.584724.311824</t>
  </si>
  <si>
    <t>300.625474.584724.478727.698691</t>
  </si>
  <si>
    <t>1004600160;11e03b9a-0a3f-4022-b534-7e3de9eece2e</t>
  </si>
  <si>
    <t>Labelle Creek</t>
  </si>
  <si>
    <t>300.625474.584724.306953.092937</t>
  </si>
  <si>
    <t>300.625474.584724.306953</t>
  </si>
  <si>
    <t>Caldwell Frtg</t>
  </si>
  <si>
    <t>300.625474.584724.738542</t>
  </si>
  <si>
    <t>Good habitat, habitat assessment (FHAP) conducted in 2016 (Masse Environmental Consultants Ltd.) for proposed coal mine EA (Bingay). Electrofished U/S and D/S, see provincial records and data submission file at http://a100.gov.bc.ca/pub/acat/public/viewReport.do?reportId=52717 . Culvert does not appear to be barrier to any species at any life stage at time of survey.  Could be barrier to small fish at high flows. EB and WCT recrded upstream.</t>
  </si>
  <si>
    <t>Nice quality stream, EB and WCT captured upstream</t>
  </si>
  <si>
    <t>Appears to be mostly passable but may pose a barrier to juvs during high flow. Determine whether to advance or exclude as passable</t>
  </si>
  <si>
    <t>Proportion of time</t>
  </si>
  <si>
    <t>Yes</t>
  </si>
  <si>
    <t>Gardner Creek</t>
  </si>
  <si>
    <t>300.625474.584724.865829</t>
  </si>
  <si>
    <t>1004600086;11e03b9a-0a3f-4022-b534-7e3de9eece2e</t>
  </si>
  <si>
    <t>300.625474.584724.318577.067207.334350</t>
  </si>
  <si>
    <t>1004606781;1024734206</t>
  </si>
  <si>
    <t>1004603040;11e03b9a-0a3f-4022-b534-7e3de9eece2e</t>
  </si>
  <si>
    <t>300.625474.584724.605882.253167</t>
  </si>
  <si>
    <t>300.625474.584724.605882</t>
  </si>
  <si>
    <t>1004600120;1004606741;11e03b9a-0a3f-4022-b534-7e3de9eece2e</t>
  </si>
  <si>
    <t>300.625474.584724.412090.564433</t>
  </si>
  <si>
    <t>1004606741;11e03b9a-0a3f-4022-b534-7e3de9eece2e</t>
  </si>
  <si>
    <t>1004600120;1004606908</t>
  </si>
  <si>
    <t>1004600143;1024734255;1024734256</t>
  </si>
  <si>
    <t>1024734250;11e03b9a-0a3f-4022-b534-7e3de9eece2e</t>
  </si>
  <si>
    <t>1004600143;1024734251;1024734255;1024734256</t>
  </si>
  <si>
    <t>1004600085;11e03b9a-0a3f-4022-b534-7e3de9eece2e</t>
  </si>
  <si>
    <t>1004606785;1024734736</t>
  </si>
  <si>
    <t>197580;197581;199906</t>
  </si>
  <si>
    <t>Detailed habitat assessment was completed. Many WCT fry were observed downstream. No barriers were present downstream. Fish sampling was not conducted since fish were observed downstream and fish passage seemed possible. The improvement would be to install a downstream rock weir to further backwater the culvert. Increasing the beaver debris blockage mesh size is also recommended to allow adult fish to pass upstream.</t>
  </si>
  <si>
    <t>https://a100.gov.bc.ca/pub/pscismap/imageViewer.do?assessmentId=201311</t>
  </si>
  <si>
    <t>Abundant WCT fry observed downstream and at upstream crossing on Bean Road. Beaver grate likely blocking adult passage at inlet</t>
  </si>
  <si>
    <t>Medium quality habitat with abundant WCT fry observed. Adult passage likely hindered by beaver grate. Recommend advancing to priority barriers list</t>
  </si>
  <si>
    <t>[ "161322", "161323", "342262" ]</t>
  </si>
  <si>
    <t>[ "398942" ]</t>
  </si>
  <si>
    <t>300.625474.584724.232027.140468.146697</t>
  </si>
  <si>
    <t>Culvert appeared to have shifted away from the banks, with the creek flowing beneath it. Debris was built up around the culvert inlet, and the outlet was embedded with sediment. Many juvenile fish were observed both upstream and downstream, including in the pool at culvert outlet. The habitat confirmation identified no barriers in the 300 m reviewed upstream and 300 m reviewed downstream.  Recommend replacing with an open bottom structure greater than 2 m wide to ensure it does not get fully plugged, to provide fish passage for all life-stages at all flows to the extensive length of high valuable habitat upstream.</t>
  </si>
  <si>
    <t>Fernie Nordic Trail</t>
  </si>
  <si>
    <t>http://a100.gov.bc.ca/pub/pscismap/imageViewer.do?assessmentId=201316</t>
  </si>
  <si>
    <t>Likely would be partially passable if creek wasn't flowing beneath culvert</t>
  </si>
  <si>
    <t>Creek flowing under culvert. Abundant juveniles upstream and downstream. Determine next steps (priority) with WG</t>
  </si>
  <si>
    <t>300.625474.584724.478727.109856</t>
  </si>
  <si>
    <t>Inlet clogged with debris 3/4 of way up. Upstream area is wetland/pond.</t>
  </si>
  <si>
    <t>Tributary to Grave Creek</t>
  </si>
  <si>
    <t>http://a100.gov.bc.ca/pub/pscismap/imageViewer.do?assessmentId=198420</t>
  </si>
  <si>
    <t>Rated as low quality habitat but WCT records upstream and downstream. Advance to habitat confirmation</t>
  </si>
  <si>
    <t>300.625474.584724.600669.319387.386731</t>
  </si>
  <si>
    <t>300.625474.584724.600669.319387</t>
  </si>
  <si>
    <t>[ "218002" ]</t>
  </si>
  <si>
    <t>Tornado Creek</t>
  </si>
  <si>
    <t>300.625474.584724.501797.033182.776551.290786</t>
  </si>
  <si>
    <t>300.625474.584724.501797.033182.776551</t>
  </si>
  <si>
    <t>60c42164-042e-492f-8ae0-31413e16f87e;ca143804-45bf-42da-90a4-16a6498d60a7;11e03b9a-0a3f-4022-b534-7e3de9eece2e</t>
  </si>
  <si>
    <t>300.625474.584724.268451.213456</t>
  </si>
  <si>
    <t>ca143804-45bf-42da-90a4-16a6498d60a7;11e03b9a-0a3f-4022-b534-7e3de9eece2e</t>
  </si>
  <si>
    <t>Active</t>
  </si>
  <si>
    <t>City Of Fernie</t>
  </si>
  <si>
    <t>Fairy Creek Dam</t>
  </si>
  <si>
    <t>60c42164-042e-492f-8ae0-31413e16f87e</t>
  </si>
  <si>
    <t>1024734248;60c42164-042e-492f-8ae0-31413e16f87e</t>
  </si>
  <si>
    <t>ca143804-45bf-42da-90a4-16a6498d60a7</t>
  </si>
  <si>
    <t>Mack Creek</t>
  </si>
  <si>
    <t>300.625474.584724.123963</t>
  </si>
  <si>
    <t>[ "374962" ]</t>
  </si>
  <si>
    <t>300.625474.584724.529811.700279</t>
  </si>
  <si>
    <t>1024734737;1024734738;1024734739;1024734740;1024734741;1024734755;1024734756</t>
  </si>
  <si>
    <t>1004601457;1024734735;1004606788;1004600084;11e03b9a-0a3f-4022-b534-7e3de9eece2e</t>
  </si>
  <si>
    <t>1004602419;1024734737;1024734738;1024734739;1024734740;1024734741;1024734755;1024734756</t>
  </si>
  <si>
    <t>1024734735;1004606788;1004600084;11e03b9a-0a3f-4022-b534-7e3de9eece2e</t>
  </si>
  <si>
    <t>1004601457;1004602419;1024734737;1024734738;1024734739;1024734740;1024734741;1024734755;1024734756</t>
  </si>
  <si>
    <t>1004606788;1004600084;11e03b9a-0a3f-4022-b534-7e3de9eece2e</t>
  </si>
  <si>
    <t>1004601457;1004602419;1024734735;1024734737;1024734738;1024734739;1024734740;1024734741;1024734755;1024734756</t>
  </si>
  <si>
    <t>1004600084;11e03b9a-0a3f-4022-b534-7e3de9eece2e</t>
  </si>
  <si>
    <t>1004601457;1004602419;1004606788;1024734735;1024734737;1024734738;1024734739;1024734740;1024734741;1024734755;1024734756</t>
  </si>
  <si>
    <t>[ "150422" ]</t>
  </si>
  <si>
    <t>1004602074;11e03b9a-0a3f-4022-b534-7e3de9eece2e</t>
  </si>
  <si>
    <t>300.625474.584724.427766.742280</t>
  </si>
  <si>
    <t>1004601755;1004600328;11e03b9a-0a3f-4022-b534-7e3de9eece2e</t>
  </si>
  <si>
    <t>300.625474.584724.189098</t>
  </si>
  <si>
    <t>1004600328;11e03b9a-0a3f-4022-b534-7e3de9eece2e</t>
  </si>
  <si>
    <t>1004601755;1004601757</t>
  </si>
  <si>
    <t>300.625474.584724.412090.240087.829937</t>
  </si>
  <si>
    <t>300.625474.584724.501797.178051.194230</t>
  </si>
  <si>
    <t>300.625474.584724.501797.178051</t>
  </si>
  <si>
    <t>Excellent habitat with abundant cover and deep pools present for rearing and overwintering. Abundant spawning gravel present. WCT captured with electrofishing downstream of culvert and WCT also observed upstream. Good candidate for replacement. Crossing 62418 (PSCIS ID) should be done concomitantly.</t>
  </si>
  <si>
    <t>Line Rd</t>
  </si>
  <si>
    <t>http://a100.gov.bc.ca/pub/acat/public/advancedSearch.do?keywords=[PSCIS3520]&amp;searchKeyType=searchAll&amp;sortColumn=title</t>
  </si>
  <si>
    <t>Barrier owner non-responsive. Currently being proposed as offsetting site for NWP Coal. Awaiting DFO decision.</t>
  </si>
  <si>
    <t>Important WCT stream with high-quality habitat upstream</t>
  </si>
  <si>
    <t>NWP Coal</t>
  </si>
  <si>
    <t>Commission engineering designs</t>
  </si>
  <si>
    <t>Easy</t>
  </si>
  <si>
    <t>CanWel Forest Products</t>
  </si>
  <si>
    <t>Grace Cr @ Line Rd (62416)</t>
  </si>
  <si>
    <t>[ "189662" ]</t>
  </si>
  <si>
    <t>1004604016;1004604005;11e03b9a-0a3f-4022-b534-7e3de9eece2e</t>
  </si>
  <si>
    <t>300.625474.584724.876015.411504</t>
  </si>
  <si>
    <t>300.625474.584724.876015</t>
  </si>
  <si>
    <t>1004604005;11e03b9a-0a3f-4022-b534-7e3de9eece2e</t>
  </si>
  <si>
    <t>300.625474.584724.876015.098517</t>
  </si>
  <si>
    <t>1004600025;1004600174;1024734259;1004600022;1004600135;1004600156;11e03b9a-0a3f-4022-b534-7e3de9eece2e</t>
  </si>
  <si>
    <t>300.625474.584724.272792.089804</t>
  </si>
  <si>
    <t>300.625474.584724.272792</t>
  </si>
  <si>
    <t>1004600174;1024734259;1004600022;1004600135;1004600156;11e03b9a-0a3f-4022-b534-7e3de9eece2e</t>
  </si>
  <si>
    <t>Fernie Shop Rd</t>
  </si>
  <si>
    <t>1004600025;1004600176</t>
  </si>
  <si>
    <t>1024734259;1004600022;1004600135;1004600156;11e03b9a-0a3f-4022-b534-7e3de9eece2e</t>
  </si>
  <si>
    <t>Cunliffe Rd</t>
  </si>
  <si>
    <t>1004600025;1004600174;1004600176</t>
  </si>
  <si>
    <t>1004600022;1004600135;1004600156;11e03b9a-0a3f-4022-b534-7e3de9eece2e</t>
  </si>
  <si>
    <t>1004600025;1004600174;1004600176;1024734259</t>
  </si>
  <si>
    <t>1004600135;1004600156;11e03b9a-0a3f-4022-b534-7e3de9eece2e</t>
  </si>
  <si>
    <t>Brenners Rd</t>
  </si>
  <si>
    <t>1004600022;1004600025;1004600174;1004600176;1024734259</t>
  </si>
  <si>
    <t>1004600156;11e03b9a-0a3f-4022-b534-7e3de9eece2e</t>
  </si>
  <si>
    <t>Manitou Rd</t>
  </si>
  <si>
    <t>1004600022;1004600025;1004600135;1004600174;1004600176;1024734259</t>
  </si>
  <si>
    <t>300.625474.584724.427766.030001.053688</t>
  </si>
  <si>
    <t>Determine fish values</t>
  </si>
  <si>
    <t xml:space="preserve">Assessors could not locate a culvert. Likely buried or non-existent (drainage through ballast). </t>
  </si>
  <si>
    <t>Barrier assessment (data deficient structures only)</t>
  </si>
  <si>
    <t>[ "165682", "233262", "233263" ]</t>
  </si>
  <si>
    <t>1004601393;1004600736;1004600739;1004600131;1004606675;1004606677;1004600126;1004606815;1004600735;1004606818;1004600323;11e03b9a-0a3f-4022-b534-7e3de9eece2e</t>
  </si>
  <si>
    <t>1004600736;1004600739;1004600131;1004606675;1004606677;1004600126;1004606815;1004600735;1004606818;1004600323;11e03b9a-0a3f-4022-b534-7e3de9eece2e</t>
  </si>
  <si>
    <t>1004600132;1004600126;1004606815;1004600735;1004606818;1004600323;11e03b9a-0a3f-4022-b534-7e3de9eece2e</t>
  </si>
  <si>
    <t>300.625474.584724.412090.240087.140502.204384</t>
  </si>
  <si>
    <t>1004602324;1004602344;1024734829;1024734830</t>
  </si>
  <si>
    <t>300.625474.584724.451535.107231</t>
  </si>
  <si>
    <t>300.625474.584724.412090.745541.151998</t>
  </si>
  <si>
    <t>1004605629;1004604098;1004604461;1004606108;1004604469;1004605053;1004604566;1004605000;1004604481;11e03b9a-0a3f-4022-b534-7e3de9eece2e</t>
  </si>
  <si>
    <t>300.625474.584724.501797.033182.787114</t>
  </si>
  <si>
    <t>1004603948;1004604098;1004604105;1004604147;1004604461;1004604469;1004604566;1004605000;1004605053;1004605629;1004606108;1004606581;1004607470;1004607598</t>
  </si>
  <si>
    <t>[ "161322", "161323" ]</t>
  </si>
  <si>
    <t>1004602324;1024734830</t>
  </si>
  <si>
    <t>1004600131;1004600132;1004600715;1004600736;1004600739;1004600758;1004601393;1004602454;1004606675;1004606677;1024734509</t>
  </si>
  <si>
    <t>1004606815;1004600735;1004606818;1004600323;11e03b9a-0a3f-4022-b534-7e3de9eece2e</t>
  </si>
  <si>
    <t>Summit Creek</t>
  </si>
  <si>
    <t>300.625474.584724.412090.240087.140502.150331</t>
  </si>
  <si>
    <t>utility access</t>
  </si>
  <si>
    <t>1004600126;1004600131;1004600132;1004600715;1004600736;1004600739;1004600758;1004601393;1004602454;1004606675;1004606677;1024734509</t>
  </si>
  <si>
    <t>1004600735;1004606818;1004600323;11e03b9a-0a3f-4022-b534-7e3de9eece2e</t>
  </si>
  <si>
    <t>1004600126;1004600131;1004600132;1004600715;1004600736;1004600739;1004600758;1004601393;1004602454;1004606675;1004606677;1004606815;1024734509</t>
  </si>
  <si>
    <t>1004600126;1004600131;1004600132;1004600715;1004600735;1004600736;1004600739;1004600758;1004601393;1004602454;1004604257;1004606675;1004606677;1004606815;1024734509</t>
  </si>
  <si>
    <t>1004600323;11e03b9a-0a3f-4022-b534-7e3de9eece2e</t>
  </si>
  <si>
    <t>300.625474.584724.412090.240087.140502.019832</t>
  </si>
  <si>
    <t>1004600126;1004600131;1004600132;1004600715;1004600735;1004600736;1004600739;1004600758;1004601393;1004602454;1004604257;1004606675;1004606677;1004606815;1004606818;1024734509</t>
  </si>
  <si>
    <t>[ "233262", "233263" ]</t>
  </si>
  <si>
    <t>1004601393;1004602454</t>
  </si>
  <si>
    <t>300.625474.584724.412090.486369.363672.846922</t>
  </si>
  <si>
    <t>1004600044;1004600045</t>
  </si>
  <si>
    <t>1004600051;11e03b9a-0a3f-4022-b534-7e3de9eece2e</t>
  </si>
  <si>
    <t>Dorita Cres</t>
  </si>
  <si>
    <t>1004600044;1004600045;1004600189</t>
  </si>
  <si>
    <t>Alpine Way</t>
  </si>
  <si>
    <t>[ "420742" ]</t>
  </si>
  <si>
    <t>3 large barrels (all 1.2m), very perched 0.7-1.3m above substrate. Stream dry at time of survey. Debris rack on upstream side of culvert. Note there is a slope change at the inlet of structure, much steeper short section possibly from damage.</t>
  </si>
  <si>
    <t>http://a100.gov.bc.ca/pub/pscismap/imageViewer.do?assessmentId=198470</t>
  </si>
  <si>
    <t>Low quality habitat, dry at assessment. Recommend exclusion do to no key upstream habitat</t>
  </si>
  <si>
    <t>1004606808;197570</t>
  </si>
  <si>
    <t>199904;11e03b9a-0a3f-4022-b534-7e3de9eece2e</t>
  </si>
  <si>
    <t>Low priority for upgrade because of the ephemeral nature of channel. Two culverts side by side, each 1 m diameter. Both culverts were dry at time of assessment. A wetland feature was observed immediately upstream. The improvement could be to replace with an open bottom structure or a closed bottom culvert greater than 2 m diameter. Although, leaving the culvert with no improvement would likely be acceptable as it did not appear to provide fish habitat and there was no evidence of erosion.</t>
  </si>
  <si>
    <t>http://a100.gov.bc.ca/pub/pscismap/imageViewer.do?assessmentId=201318</t>
  </si>
  <si>
    <t>Dry at time of assessment. No fish habitat observed. Recommend excluding due to lack of habitat</t>
  </si>
  <si>
    <t>1004600195;1004601754;1004601761;1004601762;1024734150</t>
  </si>
  <si>
    <t>C</t>
  </si>
  <si>
    <t>300.625474.584724.253915.470785.605819</t>
  </si>
  <si>
    <t>300.625474.584724.854811</t>
  </si>
  <si>
    <t>Poor fish habitat. Fish use unlikely. Low priority</t>
  </si>
  <si>
    <t>Elk River Tibutary</t>
  </si>
  <si>
    <t>1004602341;1004600042;11e03b9a-0a3f-4022-b534-7e3de9eece2e</t>
  </si>
  <si>
    <t>1004600041;1004601193</t>
  </si>
  <si>
    <t>1004600042;11e03b9a-0a3f-4022-b534-7e3de9eece2e</t>
  </si>
  <si>
    <t>1004600041;1004601193;1004602341</t>
  </si>
  <si>
    <t>300.625474.584724.361599.526939</t>
  </si>
  <si>
    <t>1004600159;11e03b9a-0a3f-4022-b534-7e3de9eece2e</t>
  </si>
  <si>
    <t>300.625474.584724.501797.421982.076515.381632</t>
  </si>
  <si>
    <t>Electrofished 300m downstream of culvert with no fish caught. No further action recommended.</t>
  </si>
  <si>
    <t>Todhunter Cr @ CP606 (61608)</t>
  </si>
  <si>
    <t>Dry immediately downstream at time of survey. Large gravel deposit on upstream side of culvert.  Culvert slope calculated from lazer level measurements.</t>
  </si>
  <si>
    <t>Harriet Lake Creek</t>
  </si>
  <si>
    <t>http://a100.gov.bc.ca/pub/pscismap/imageViewer.do?assessmentId=198631</t>
  </si>
  <si>
    <t>Rated as low quality habitat as stream dry at time of assessment but abundant WCT observations present upstream and downstream. Advance to Hab conf</t>
  </si>
  <si>
    <t>Harriet Lk Cr @ Grave Cr FSR (62423)</t>
  </si>
  <si>
    <t>300.625474.584724.872887</t>
  </si>
  <si>
    <t>Trib to Elk R @ unnamed (4604004)</t>
  </si>
  <si>
    <t>Highway crossing. Two culverts side by side, with left bank culvert conveying the main flow. Right bank culvert was dry. The habitat confirmation identified no barriers in the 300 m reviewed upstream and 109 m reviewed downstream to the Elk River, where fish are known, high value habitat upstream, and fish to be present both upstream and downstream. Recommend replacing culverts with open bottom structure greater than 5 m wide, to ensure passage for all life-stages at all flows to the extensive length of stream available upstream</t>
  </si>
  <si>
    <t>http://a100.gov.bc.ca/pub/pscismap/imageViewer.do?assessmentId=201308</t>
  </si>
  <si>
    <t>Fry observed stranded in outlet pool during 2020 barrier assessment</t>
  </si>
  <si>
    <t>High quality habitat, fish present upstream and downstream</t>
  </si>
  <si>
    <t>Tributary to Ekl River</t>
  </si>
  <si>
    <t>Trib to Elk R @ Hwy 3 (197579)</t>
  </si>
  <si>
    <t>300.625474.584724.672966</t>
  </si>
  <si>
    <t>Large perched culvert. High value habitat. Large span of replacement structure estimated due to large amount of fill.</t>
  </si>
  <si>
    <t>https://a100.gov.bc.ca/pub/pscismap/imageViewer.do?habitatConfirmationId=1361</t>
  </si>
  <si>
    <t>Large amount of fill overhead. Electrofishing yielded 1 Bull Trout. Culvert fully perched and is a full barrier</t>
  </si>
  <si>
    <t>High quality habitat</t>
  </si>
  <si>
    <t>Difficult</t>
  </si>
  <si>
    <t>Trib to Elk R @ Elk R Main FSR (197555)</t>
  </si>
  <si>
    <t>yes</t>
  </si>
  <si>
    <t>B</t>
  </si>
  <si>
    <t>300.625474.584724.661397</t>
  </si>
  <si>
    <t>Freshly dredged. Dry, Dredging may extend well down channel. See photo from about 130m downstream.</t>
  </si>
  <si>
    <t>http://a100.gov.bc.ca/pub/pscismap/imageViewer.do?assessmentId=198426</t>
  </si>
  <si>
    <t>Low quality habitat. Dry at time of assessment with dredging upstream and downstream. Likely flashy flows</t>
  </si>
  <si>
    <t>Trib to Elk R @ Elk R Main FSR  (197526)</t>
  </si>
  <si>
    <t>300.625474.584724.427766.711806</t>
  </si>
  <si>
    <t>Cummings Cr @ branch off Cummings Cr FSR (4602074)</t>
  </si>
  <si>
    <t>Two pipes (2.7 x 2.2).  Length of pipes is 130m! Biomark station installed to document fish movement through culvert. Four concrete weirs (~0.3m drops) located downstream of outlet. 15:50</t>
  </si>
  <si>
    <t>http://a100.gov.bc.ca/pub/pscismap/imageViewer.do?assessmentId=198845</t>
  </si>
  <si>
    <t>Preliminary design complete, undergoing options evaluation</t>
  </si>
  <si>
    <t>Industry barrier. Important WCT stream</t>
  </si>
  <si>
    <t>Detailed habitat investigation</t>
  </si>
  <si>
    <t>Henretta Cr @ unnamed (197825)</t>
  </si>
  <si>
    <t>Lowe Creek</t>
  </si>
  <si>
    <t>300.625474.584724.711904</t>
  </si>
  <si>
    <t>Upstream past dredging natural channel 2.5m wide. Downstream below dredging extremely braided, original channel difficult to track. Channel widths &amp;gt;10m at times with substrate on top of banks and in bases of trees. Channel dredged upstream and downstream approximately 75m on each. Habitat assessment (FHAP) conducted in 2016 (Masse Environmental Consultants Ltd.) for proposed coal mine EA (Bingay). Electrofished D/S, see provincial records and data submission file at http://a100.gov.bc.ca/pub/acat/public/viewReport.do?reportId=52717 .</t>
  </si>
  <si>
    <t>http://a100.gov.bc.ca/pub/pscismap/imageViewer.do?assessmentId=198453</t>
  </si>
  <si>
    <t>Dredging 75 m upstream and downstream of crossing, braiding downstream of dredging, indicating crossing is undersized for debris flows</t>
  </si>
  <si>
    <t>Barrier rated as having high quality habitat</t>
  </si>
  <si>
    <t>Lowe Cr @ Elk R Main FSR (197553)</t>
  </si>
  <si>
    <t>300.625474.584724.412090.486369.683107</t>
  </si>
  <si>
    <t>Trib to Leach Cr @ unnamed (4601519)</t>
  </si>
  <si>
    <t>1004604012;1004604016</t>
  </si>
  <si>
    <t>Trib to Elk R @ unnamed (4604005)</t>
  </si>
  <si>
    <t>1004606808;197570;199903</t>
  </si>
  <si>
    <t>Mostly deactivated spur road. Channel was dry at the time of the assessment and appeared to be frequently dry as evidenced by vegetation ingrowth. The improvement would be to remove/deactivate crossing to allow for proper floodplain flow.</t>
  </si>
  <si>
    <t>http://a100.gov.bc.ca/pub/pscismap/imageViewer.do?assessmentId=201319</t>
  </si>
  <si>
    <t>Mostly deactivated road but culvert left in place. Recommend removing culvert to restore floodplain flows or exclude due to lack of habitat</t>
  </si>
  <si>
    <t>Spur of Thompson Road</t>
  </si>
  <si>
    <t>Cokato Cr @ Supr (4601996)</t>
  </si>
  <si>
    <t>62182;11e03b9a-0a3f-4022-b534-7e3de9eece2e</t>
  </si>
  <si>
    <t>Two pipes (1.8m x 1.8m). Left pipe was measured. Right pipe gradient ~3%.  Right pipe partially embedded. 14:16</t>
  </si>
  <si>
    <t>https://www.newgraphenvironment.com/fish_passage_elk_2021_reporting/appendix---62181-62182---dry-creek.html</t>
  </si>
  <si>
    <t xml:space="preserve">Scores as potential barrier. Barrier to be rehabilitated as part of Teck's Tributary Management Plan under Environmental Management Act. </t>
  </si>
  <si>
    <t>Industry barrier</t>
  </si>
  <si>
    <t>Rehabilitation</t>
  </si>
  <si>
    <t>Other (see notes)</t>
  </si>
  <si>
    <t>Dry Cr @ Railway (62181)</t>
  </si>
  <si>
    <t>Two pipes (1.8m x 1.8m).  Stream left pipe embedd at outlet 0.6m but not at inlet and there is a significant inlet drop. PSCIS crossing 62182 is located ~30m upstream of the crossing under the railway. 12:50</t>
  </si>
  <si>
    <t>Fording Highway</t>
  </si>
  <si>
    <t>Barrier to be rehabilitated as part of Teck's Tributary Management Plan under Environmental Management Act</t>
  </si>
  <si>
    <t>Dry Cr @ Fording Hwy (62182)</t>
  </si>
  <si>
    <t>103033;50181</t>
  </si>
  <si>
    <t>No outlet drop but approximately 0.6m drop from outlet to to riprap locted 2m downstream fom culvert.  Appears that Newbury weirs may have been installed downstream to provide access to culvert for juveniles and adult salmonids with several boulder lines apparent.</t>
  </si>
  <si>
    <t>Tributary to Morrisey Creek</t>
  </si>
  <si>
    <t>https://www.newgraphenvironment.com/fish_passage_elk_2020_reporting/appendix---50185---tributary-to-morrisey-creek.html#</t>
  </si>
  <si>
    <t>Preliminary studies by VAST this winter revealed groundwater- influenced temperature refugia and suitable habitat for WCT. EB dominant in lower reaches.</t>
  </si>
  <si>
    <t xml:space="preserve">Industry barrier on busy haul road. High value WCT rearing stream with groundwater refugia. </t>
  </si>
  <si>
    <t>Engage with barrier owner</t>
  </si>
  <si>
    <t>Proportion of individuals</t>
  </si>
  <si>
    <t>CanFor</t>
  </si>
  <si>
    <t>River Road</t>
  </si>
  <si>
    <t>Trib to Morrissey Cr @ River Rd (50185)</t>
  </si>
  <si>
    <t>1004600588;1004600594</t>
  </si>
  <si>
    <t>300.625474.584724.412090.486369.787719</t>
  </si>
  <si>
    <t>Leach Cr @ Unnamed Rd (4600851)</t>
  </si>
  <si>
    <t>A</t>
  </si>
  <si>
    <t>Trib to Alexander Cr @ Unnamed (24734526)</t>
  </si>
  <si>
    <t>62413;62416</t>
  </si>
  <si>
    <t>300.625474.584724.501797.178051.009438</t>
  </si>
  <si>
    <t>https://a100.gov.bc.ca/pub/acat/documents/r49504/East_Kootenay_Habitat_report_Final_w_MAPS_1447703733942_7701890483.pdf</t>
  </si>
  <si>
    <t>Important WCT stream with high-quality habitat. Some confusion about whether crossing has been assessed, based on VAST 2013 and Masse 2014 reports (see Masse 2014 GRAC022 writeup).</t>
  </si>
  <si>
    <t>Grace Cr @ Line Rd (4602947)</t>
  </si>
  <si>
    <t>98a6d14e-ea75-446a-80e5-8709bf2eb8e9;197542;11e03b9a-0a3f-4022-b534-7e3de9eece2e</t>
  </si>
  <si>
    <t>Likely passable to adults but barriers to juveniles</t>
  </si>
  <si>
    <t>Hartley Cr @ dam 2</t>
  </si>
  <si>
    <t>e86b513c-3dce-4b4a-a49e-e86e4dac935e</t>
  </si>
  <si>
    <t>197542;11e03b9a-0a3f-4022-b534-7e3de9eece2e</t>
  </si>
  <si>
    <t>Owner unknown. Could be removed as part of 197542 removal downstream</t>
  </si>
  <si>
    <t>Two small dams, likely passable to adults but barriers to juveniles</t>
  </si>
  <si>
    <t>Hartley Cr @ dam 1</t>
  </si>
  <si>
    <t>98a6d14e-ea75-446a-80e5-8709bf2eb8e9</t>
  </si>
  <si>
    <t>98a6d14e-ea75-446a-80e5-8709bf2eb8e9;e86b513c-3dce-4b4a-a49e-e86e4dac935e</t>
  </si>
  <si>
    <t>Laser level used for culvert slope. WCT spawning system. See Management Plan for the Westslope Cutthroat Trout (Oncorhynchus clarkii lewisi) in British Columbia 2014 http://a100.gov.bc.ca/pub/eirs/finishDownloadDocument.do?subdocumentId=9781</t>
  </si>
  <si>
    <t>OVAL</t>
  </si>
  <si>
    <t>https://www.newgraphenvironment.com/fish_passage_elk_2020_reporting/appendix---197542---hartley-creek.html</t>
  </si>
  <si>
    <t>Currently going through Fisheries Act authorization due to sediment basin component of work</t>
  </si>
  <si>
    <t>Very important WCT stream</t>
  </si>
  <si>
    <t>Hartley Cr @ Dicken Rd (197542)</t>
  </si>
  <si>
    <t>[ "216962" ]</t>
  </si>
  <si>
    <t>1004604461;1004606108;1004604469;1004605053;1004604566;1004605000;1004604481;1024734942;11e03b9a-0a3f-4022-b534-7e3de9eece2e</t>
  </si>
  <si>
    <t>Line Creek Mine (permanently altered)</t>
  </si>
  <si>
    <t>Tobermory Creek</t>
  </si>
  <si>
    <t>300.625474.584724.960689</t>
  </si>
  <si>
    <t>Main stream flow has migrated into a secondary culvert, 10-20m away from the one that was assessed in 2013 (Vast). Excellent habitat throughout with abundant pools for rearing and overwintering, gravels present for spawning. Electrofished for 300m with no fish caught. Good candidate for replacement, WCT, BT, and MW reported in Elk River near mouth of Tobermory Creek.</t>
  </si>
  <si>
    <t>Tobermory</t>
  </si>
  <si>
    <t>https://a100.gov.bc.ca/pub/pscism</t>
  </si>
  <si>
    <t>Replaced with clearspan bridge</t>
  </si>
  <si>
    <t>BCTS</t>
  </si>
  <si>
    <t>Rehabilitated</t>
  </si>
  <si>
    <t>Tobermory Cr @ Elk R Main FSR (62245)</t>
  </si>
  <si>
    <t>1004600835;1004601913;1024760705</t>
  </si>
  <si>
    <t>300.625474.584724.412090.871274</t>
  </si>
  <si>
    <t>Michel Cr @ Sec.01 FSR (24760703)</t>
  </si>
  <si>
    <t>Elkview Coal Corporation</t>
  </si>
  <si>
    <t>Harmer Creek Dam</t>
  </si>
  <si>
    <t>https://www.teck.com/media/Harmer-Creek-Evaluation-of-Cause%20-Report-March-2023.pdf</t>
  </si>
  <si>
    <t>Under construction. Expected completion 2025.</t>
  </si>
  <si>
    <t>Elkview Coal Corp.</t>
  </si>
  <si>
    <t>Elkview</t>
  </si>
  <si>
    <t>Harmer Cr Dam (1100001086)</t>
  </si>
  <si>
    <t>13635d39-ee0f-4d0c-bb9c-9649ac9a5c63</t>
  </si>
  <si>
    <t>Telford Creek</t>
  </si>
  <si>
    <t>300.625474.584724.427766.380920</t>
  </si>
  <si>
    <t>Line Cr @ Sec.03 Rd (24752563)</t>
  </si>
  <si>
    <t>Large stream with good flow. Flows currently mostly through south culvert which has slightly higher outlet drop. Similar elevation outlets so added together for width. Lazer level used for culvert slope. Cobble/boulder substrate. Boulder cover.</t>
  </si>
  <si>
    <t>https://www.newgraphenvironment.com/fish_passage_elk_2022_reporting/results.html#weigert-creek---pscis-crossing-197534</t>
  </si>
  <si>
    <t>Initial discussions with MOTI carried out. MOTI is amenable to replacing crossing but no solid timeline identified.</t>
  </si>
  <si>
    <t>In-depth habitat investigations revealed WCT presence upstream and downstream of crossing. Cold water = short growing season for fish. Could be important temperature refuge during hot weather.</t>
  </si>
  <si>
    <t>Weigert Cr @ Hwy 43 (197534)</t>
  </si>
  <si>
    <t>197533;11e03b9a-0a3f-4022-b534-7e3de9eece2e</t>
  </si>
  <si>
    <t>Dewatered upstream. Downstream, deep pool present, fed subsurface from northside of culvert.  Approximately 9 WCT in outlet pool.  Four fish ~300mm and 5 fish ~200 mm. High confidence that the larger fish were WCT as easy to recognize from bank.</t>
  </si>
  <si>
    <t>https://www.newgraphenvironment.com/fish_passage_elk_2022_reporting/discussion-and-recommendations.html#brule-creek---pscis-crossings-197533-and-197559-1</t>
  </si>
  <si>
    <t>Potential to rehabilitate stream channel at same time as culverts replaced.</t>
  </si>
  <si>
    <t>Full barrier to passage, culverts in poor shape and in need of replacing.</t>
  </si>
  <si>
    <t>Brule Creek @ Hwy 43 (197559)</t>
  </si>
  <si>
    <t>Large stream with good flow at this crossing. Culvert inlet is damaged and there is a large outlet drop.</t>
  </si>
  <si>
    <t>Busato Rd</t>
  </si>
  <si>
    <t>https://www.newgraphenvironment.com/fish_passage_elk_2022_reporting/results.html#brule-creek---pscis-crossings-197533-and-197559</t>
  </si>
  <si>
    <t xml:space="preserve"> Potential to do some habitat rehabilitation work on the stream in conjunction with culvert replacements.</t>
  </si>
  <si>
    <t>Full barrier to fish passage. Culverts in poor shape and in need of replacing.</t>
  </si>
  <si>
    <t>Busato Road</t>
  </si>
  <si>
    <t>Brule Cr @ Busato Rd (197533)</t>
  </si>
  <si>
    <t>1004600666;1004603413;1004604060;1004604062;1004604114;1004604116;1004604121;1004604674;1004605606;1004606284;1024706649;197825</t>
  </si>
  <si>
    <t>300.625474.584724.501797.735401</t>
  </si>
  <si>
    <t>Very large culvert on main coal haul road. Outlet appears to have been backwatered by downstream wiers. 14:04</t>
  </si>
  <si>
    <t>FRO Coal Haul</t>
  </si>
  <si>
    <t>https://www.newgraphenvironment.com/fish_passage_elk_2021_reporting/appendix---phase-1-fish-passage-assessment-data-and-photos.html#</t>
  </si>
  <si>
    <t>Fording R @ FRO Coal Haul Rd (4600762)</t>
  </si>
  <si>
    <t>Hydroelectricity</t>
  </si>
  <si>
    <t>Bc Hydro &amp; Power Authority</t>
  </si>
  <si>
    <t>Elko Dam</t>
  </si>
  <si>
    <t>Cumulative Average Habitat Upstream of Structure Sets</t>
  </si>
  <si>
    <t>Structure Count</t>
  </si>
  <si>
    <t>Cumulative Actual Habitat Upstream of Structures</t>
  </si>
  <si>
    <t>label_in_wcrp</t>
  </si>
  <si>
    <t>tier_combined</t>
  </si>
  <si>
    <t>rank_combined</t>
  </si>
  <si>
    <t>rank_total_upstr_hab</t>
  </si>
  <si>
    <t>rank_avg_gain_tiered</t>
  </si>
  <si>
    <t>rank_avg_gain_per_barrier</t>
  </si>
  <si>
    <t>dnstr_set_ids</t>
  </si>
  <si>
    <t>avg_gain_per_barrier</t>
  </si>
  <si>
    <t>num_barriers_set</t>
  </si>
  <si>
    <t>total_hab_gain_set</t>
  </si>
  <si>
    <t>set_id</t>
  </si>
  <si>
    <t>all_spawningrearing_belowupstrbarriers_km</t>
  </si>
  <si>
    <t>all_spawningrearing_km</t>
  </si>
  <si>
    <t>all_rearing_belowupstrbarriers_km</t>
  </si>
  <si>
    <t>all_rearing_km</t>
  </si>
  <si>
    <t>all_spawning_belowupstrbarriers_km</t>
  </si>
  <si>
    <t>all_spawning_km</t>
  </si>
  <si>
    <t>wct_rearing_belowupstrbarriers_km</t>
  </si>
  <si>
    <t>wct_spawning_belowupstrbarriers_km</t>
  </si>
  <si>
    <t>wct_rearing_km</t>
  </si>
  <si>
    <t>wct_spawning_km</t>
  </si>
  <si>
    <t>st_rearing_belowupstrbarriers_km</t>
  </si>
  <si>
    <t>st_spawning_belowupstrbarriers_km</t>
  </si>
  <si>
    <t>st_rearing_km</t>
  </si>
  <si>
    <t>st_spawning_km</t>
  </si>
  <si>
    <t>sk_rearing_belowupstrbarriers_ha</t>
  </si>
  <si>
    <t>sk_rearing_belowupstrbarriers_km</t>
  </si>
  <si>
    <t>sk_spawning_belowupstrbarriers_km</t>
  </si>
  <si>
    <t>sk_rearing_ha</t>
  </si>
  <si>
    <t>sk_rearing_km</t>
  </si>
  <si>
    <t>sk_spawning_km</t>
  </si>
  <si>
    <t>pk_spawning_belowupstrbarriers_km</t>
  </si>
  <si>
    <t>pk_spawning_km</t>
  </si>
  <si>
    <t>co_rearing_belowupstrbarriers_ha</t>
  </si>
  <si>
    <t>co_rearing_belowupstrbarriers_km</t>
  </si>
  <si>
    <t>co_spawning_belowupstrbarriers_km</t>
  </si>
  <si>
    <t>co_rearing_ha</t>
  </si>
  <si>
    <t>co_rearing_km</t>
  </si>
  <si>
    <t>co_spawning_km</t>
  </si>
  <si>
    <t>cm_spawning_belowupstrbarriers_km</t>
  </si>
  <si>
    <t>cm_spawning_km</t>
  </si>
  <si>
    <t>ch_rearing_belowupstrbarriers_km</t>
  </si>
  <si>
    <t>ch_spawning_belowupstrbarriers_km</t>
  </si>
  <si>
    <t>ch_rearing_km</t>
  </si>
  <si>
    <t>ch_spawning_km</t>
  </si>
  <si>
    <t>barriers_wct_dnstr</t>
  </si>
  <si>
    <t>barriers_st_dnstr</t>
  </si>
  <si>
    <t>barriers_ch_cm_co_pk_sk_dnstr</t>
  </si>
  <si>
    <t>barriers_anthropogenic_habitat_wcrp_upstr_count</t>
  </si>
  <si>
    <t>barriers_anthropogenic_habitat_wcrp_upstr</t>
  </si>
  <si>
    <t>barriers_anthropogenic_dnstr_count</t>
  </si>
  <si>
    <t>barriers_anthropogenic_dnstr</t>
  </si>
  <si>
    <t>gnis_stream_name</t>
  </si>
  <si>
    <t>watershed_group_code</t>
  </si>
  <si>
    <t>localcode</t>
  </si>
  <si>
    <t>wscode</t>
  </si>
  <si>
    <t>downstream_route_measure</t>
  </si>
  <si>
    <t>utm_northing</t>
  </si>
  <si>
    <t>utm_easting</t>
  </si>
  <si>
    <t>utm_zone</t>
  </si>
  <si>
    <t>dam_operating_status</t>
  </si>
  <si>
    <t>dam_use</t>
  </si>
  <si>
    <t>dam_owner</t>
  </si>
  <si>
    <t>dam_height</t>
  </si>
  <si>
    <t>dam_name</t>
  </si>
  <si>
    <t>pscis_assessment_date</t>
  </si>
  <si>
    <t>pscis_assessment_comment</t>
  </si>
  <si>
    <t>pscis_stream_name</t>
  </si>
  <si>
    <t>pscis_road_name</t>
  </si>
  <si>
    <t>crossing_subtype_code</t>
  </si>
  <si>
    <t>pscis_status</t>
  </si>
  <si>
    <t>modelled_crossing_id</t>
  </si>
  <si>
    <t>supporting_links</t>
  </si>
  <si>
    <t>notes</t>
  </si>
  <si>
    <t>reason</t>
  </si>
  <si>
    <t>others_involved_in_next_steps</t>
  </si>
  <si>
    <t>lead_for_next_steps</t>
  </si>
  <si>
    <t>timeline_for_next_steps</t>
  </si>
  <si>
    <t>next_steps</t>
  </si>
  <si>
    <t>actual_project_cost_$</t>
  </si>
  <si>
    <t>estimated_rehabilitation_cost_$</t>
  </si>
  <si>
    <t>rehabilitated_date</t>
  </si>
  <si>
    <t>rehabilitated_by</t>
  </si>
  <si>
    <t>type_of_rehabilitation</t>
  </si>
  <si>
    <t>priority</t>
  </si>
  <si>
    <t>estimated_cost_$</t>
  </si>
  <si>
    <t>constructability</t>
  </si>
  <si>
    <t>upstream_habitat_quality</t>
  </si>
  <si>
    <t>partial_passability_notes</t>
  </si>
  <si>
    <t>partial_passability</t>
  </si>
  <si>
    <t>method_of_exclusion</t>
  </si>
  <si>
    <t>reason_for_exclusion</t>
  </si>
  <si>
    <t>assessment_type_completed</t>
  </si>
  <si>
    <t>structure_list_status</t>
  </si>
  <si>
    <t>private_owner_details</t>
  </si>
  <si>
    <t>structure_owner</t>
  </si>
  <si>
    <t>structure_type</t>
  </si>
  <si>
    <t>road_name</t>
  </si>
  <si>
    <t>watercourse_name</t>
  </si>
  <si>
    <t>blue_line_key</t>
  </si>
  <si>
    <t>rail_track_name</t>
  </si>
  <si>
    <t>transport_line_structured_name_1</t>
  </si>
  <si>
    <t>barrier_status</t>
  </si>
  <si>
    <t>crossing_type_code</t>
  </si>
  <si>
    <t>crossing_feature_type</t>
  </si>
  <si>
    <t>crossing_source</t>
  </si>
  <si>
    <t>internal_name</t>
  </si>
  <si>
    <t>barrier_id</t>
  </si>
  <si>
    <t>aggregated_crossings_id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</si>
</sst>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2"/>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14" fontId="0" fillId="5" borderId="0" xfId="0" applyNumberFormat="1"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5AAA9-168F-4A8D-A57F-AB235DBAB59F}">
  <sheetPr filterMode="1"/>
  <dimension ref="A1:DI492"/>
  <sheetViews>
    <sheetView tabSelected="1" topLeftCell="G1" workbookViewId="0">
      <selection activeCell="C1" sqref="C1"/>
    </sheetView>
  </sheetViews>
  <sheetFormatPr defaultRowHeight="14.5" x14ac:dyDescent="0.35"/>
  <cols>
    <col min="1" max="1" width="22.54296875" customWidth="1"/>
    <col min="2" max="2" width="13.90625" customWidth="1"/>
    <col min="3" max="3" width="44.1796875" customWidth="1"/>
    <col min="4" max="4" width="19.36328125" customWidth="1"/>
  </cols>
  <sheetData>
    <row r="1" spans="1:112" s="7" customFormat="1" ht="116" x14ac:dyDescent="0.35">
      <c r="A1" s="7" t="s">
        <v>1619</v>
      </c>
      <c r="B1" s="7" t="s">
        <v>1618</v>
      </c>
      <c r="C1" s="7" t="s">
        <v>1617</v>
      </c>
      <c r="D1" s="7" t="s">
        <v>1616</v>
      </c>
      <c r="E1" s="7" t="s">
        <v>1615</v>
      </c>
      <c r="F1" s="7" t="s">
        <v>1614</v>
      </c>
      <c r="G1" s="7" t="s">
        <v>1613</v>
      </c>
      <c r="H1" s="7" t="s">
        <v>1612</v>
      </c>
      <c r="I1" s="7" t="s">
        <v>1611</v>
      </c>
      <c r="J1" s="7" t="s">
        <v>1610</v>
      </c>
      <c r="K1" s="7" t="s">
        <v>1609</v>
      </c>
      <c r="L1" s="7" t="s">
        <v>1608</v>
      </c>
      <c r="M1" s="7" t="s">
        <v>1607</v>
      </c>
      <c r="N1" s="7" t="s">
        <v>1606</v>
      </c>
      <c r="O1" s="7" t="s">
        <v>1605</v>
      </c>
      <c r="P1" s="7" t="s">
        <v>1604</v>
      </c>
      <c r="Q1" s="7" t="s">
        <v>1603</v>
      </c>
      <c r="R1" s="7" t="s">
        <v>1602</v>
      </c>
      <c r="S1" s="7" t="s">
        <v>1601</v>
      </c>
      <c r="T1" s="7" t="s">
        <v>1600</v>
      </c>
      <c r="U1" s="7" t="s">
        <v>1599</v>
      </c>
      <c r="V1" s="7" t="s">
        <v>1598</v>
      </c>
      <c r="W1" s="7" t="s">
        <v>1597</v>
      </c>
      <c r="X1" s="7" t="s">
        <v>1596</v>
      </c>
      <c r="Y1" s="7" t="s">
        <v>1595</v>
      </c>
      <c r="Z1" s="7" t="s">
        <v>1594</v>
      </c>
      <c r="AA1" s="7" t="s">
        <v>1593</v>
      </c>
      <c r="AB1" s="7" t="s">
        <v>1592</v>
      </c>
      <c r="AC1" s="7" t="s">
        <v>1591</v>
      </c>
      <c r="AD1" s="7" t="s">
        <v>1590</v>
      </c>
      <c r="AE1" s="7" t="s">
        <v>1589</v>
      </c>
      <c r="AF1" s="7" t="s">
        <v>1588</v>
      </c>
      <c r="AG1" s="7" t="s">
        <v>1587</v>
      </c>
      <c r="AH1" s="7" t="s">
        <v>1586</v>
      </c>
      <c r="AI1" s="7" t="s">
        <v>1585</v>
      </c>
      <c r="AJ1" s="7" t="s">
        <v>1584</v>
      </c>
      <c r="AK1" s="7" t="s">
        <v>1583</v>
      </c>
      <c r="AL1" s="7" t="s">
        <v>1582</v>
      </c>
      <c r="AM1" s="7" t="s">
        <v>1581</v>
      </c>
      <c r="AN1" s="7" t="s">
        <v>1580</v>
      </c>
      <c r="AO1" s="7" t="s">
        <v>1579</v>
      </c>
      <c r="AP1" s="7" t="s">
        <v>1578</v>
      </c>
      <c r="AQ1" s="7" t="s">
        <v>1577</v>
      </c>
      <c r="AR1" s="7" t="s">
        <v>1576</v>
      </c>
      <c r="AS1" s="7" t="s">
        <v>1575</v>
      </c>
      <c r="AT1" s="7" t="s">
        <v>1574</v>
      </c>
      <c r="AU1" s="7" t="s">
        <v>1573</v>
      </c>
      <c r="AV1" s="7" t="s">
        <v>1572</v>
      </c>
      <c r="AW1" s="7" t="s">
        <v>1571</v>
      </c>
      <c r="AX1" s="7" t="s">
        <v>1570</v>
      </c>
      <c r="AY1" s="7" t="s">
        <v>1569</v>
      </c>
      <c r="AZ1" s="7" t="s">
        <v>1568</v>
      </c>
      <c r="BA1" s="7" t="s">
        <v>1567</v>
      </c>
      <c r="BB1" s="7" t="s">
        <v>1566</v>
      </c>
      <c r="BC1" s="7" t="s">
        <v>1565</v>
      </c>
      <c r="BD1" s="7" t="s">
        <v>1564</v>
      </c>
      <c r="BE1" s="7" t="s">
        <v>1563</v>
      </c>
      <c r="BF1" s="7" t="s">
        <v>1562</v>
      </c>
      <c r="BG1" s="7" t="s">
        <v>1561</v>
      </c>
      <c r="BH1" s="7" t="s">
        <v>1560</v>
      </c>
      <c r="BI1" s="7" t="s">
        <v>1559</v>
      </c>
      <c r="BJ1" s="7" t="s">
        <v>1558</v>
      </c>
      <c r="BK1" s="7" t="s">
        <v>1557</v>
      </c>
      <c r="BL1" s="7" t="s">
        <v>1556</v>
      </c>
      <c r="BM1" s="7" t="s">
        <v>1555</v>
      </c>
      <c r="BN1" s="7" t="s">
        <v>1554</v>
      </c>
      <c r="BO1" s="7" t="s">
        <v>1553</v>
      </c>
      <c r="BP1" s="7" t="s">
        <v>1552</v>
      </c>
      <c r="BQ1" s="7" t="s">
        <v>1551</v>
      </c>
      <c r="BR1" s="7" t="s">
        <v>1550</v>
      </c>
      <c r="BS1" s="7" t="s">
        <v>1549</v>
      </c>
      <c r="BT1" s="7" t="s">
        <v>1548</v>
      </c>
      <c r="BU1" s="7" t="s">
        <v>1547</v>
      </c>
      <c r="BV1" s="7" t="s">
        <v>1546</v>
      </c>
      <c r="BW1" s="7" t="s">
        <v>1545</v>
      </c>
      <c r="BX1" s="7" t="s">
        <v>1544</v>
      </c>
      <c r="BY1" s="7" t="s">
        <v>1543</v>
      </c>
      <c r="BZ1" s="7" t="s">
        <v>1542</v>
      </c>
      <c r="CA1" s="7" t="s">
        <v>1541</v>
      </c>
      <c r="CB1" s="7" t="s">
        <v>1540</v>
      </c>
      <c r="CC1" s="7" t="s">
        <v>1539</v>
      </c>
      <c r="CD1" s="7" t="s">
        <v>1538</v>
      </c>
      <c r="CE1" s="7" t="s">
        <v>1537</v>
      </c>
      <c r="CF1" s="7" t="s">
        <v>1536</v>
      </c>
      <c r="CG1" s="7" t="s">
        <v>1535</v>
      </c>
      <c r="CH1" s="7" t="s">
        <v>1534</v>
      </c>
      <c r="CI1" s="7" t="s">
        <v>1533</v>
      </c>
      <c r="CJ1" s="7" t="s">
        <v>1532</v>
      </c>
      <c r="CK1" s="7" t="s">
        <v>1531</v>
      </c>
      <c r="CL1" s="7" t="s">
        <v>1530</v>
      </c>
      <c r="CM1" s="7" t="s">
        <v>1529</v>
      </c>
      <c r="CN1" s="7" t="s">
        <v>1528</v>
      </c>
      <c r="CO1" s="7" t="s">
        <v>1527</v>
      </c>
      <c r="CP1" s="7" t="s">
        <v>1526</v>
      </c>
      <c r="CQ1" s="7" t="s">
        <v>1525</v>
      </c>
      <c r="CR1" s="7" t="s">
        <v>1524</v>
      </c>
      <c r="CS1" s="7" t="s">
        <v>1523</v>
      </c>
      <c r="CT1" s="7" t="s">
        <v>1522</v>
      </c>
      <c r="CU1" s="7" t="s">
        <v>1521</v>
      </c>
      <c r="CV1" s="7" t="s">
        <v>1520</v>
      </c>
      <c r="CW1" s="7" t="s">
        <v>1519</v>
      </c>
      <c r="CX1" s="7" t="s">
        <v>1518</v>
      </c>
      <c r="CY1" s="7" t="s">
        <v>1517</v>
      </c>
      <c r="CZ1" s="7" t="s">
        <v>1516</v>
      </c>
      <c r="DA1" s="7" t="s">
        <v>1515</v>
      </c>
      <c r="DB1" s="7" t="s">
        <v>1514</v>
      </c>
      <c r="DC1" s="7" t="s">
        <v>1513</v>
      </c>
      <c r="DD1" s="7" t="s">
        <v>1512</v>
      </c>
      <c r="DE1" s="7" t="s">
        <v>1511</v>
      </c>
      <c r="DF1" s="7" t="s">
        <v>1510</v>
      </c>
      <c r="DG1" s="7" t="s">
        <v>1509</v>
      </c>
      <c r="DH1" s="7" t="s">
        <v>1508</v>
      </c>
    </row>
    <row r="2" spans="1:112" hidden="1" x14ac:dyDescent="0.35">
      <c r="D2" t="s">
        <v>454</v>
      </c>
      <c r="E2" t="s">
        <v>453</v>
      </c>
      <c r="F2" t="s">
        <v>258</v>
      </c>
      <c r="G2" t="s">
        <v>119</v>
      </c>
      <c r="J2">
        <v>356570562</v>
      </c>
      <c r="AN2" t="s">
        <v>453</v>
      </c>
      <c r="AS2" t="s">
        <v>1507</v>
      </c>
      <c r="AT2">
        <v>15.5</v>
      </c>
      <c r="AU2" t="s">
        <v>1506</v>
      </c>
      <c r="AV2" t="s">
        <v>1505</v>
      </c>
      <c r="AW2" t="s">
        <v>1231</v>
      </c>
      <c r="AX2">
        <v>11</v>
      </c>
      <c r="AY2">
        <v>637846</v>
      </c>
      <c r="AZ2">
        <v>5461391</v>
      </c>
      <c r="BA2">
        <v>22911.762897143399</v>
      </c>
      <c r="BB2" t="s">
        <v>459</v>
      </c>
      <c r="BC2" t="s">
        <v>501</v>
      </c>
      <c r="BD2" t="s">
        <v>94</v>
      </c>
      <c r="BE2" t="s">
        <v>457</v>
      </c>
      <c r="BG2">
        <v>0</v>
      </c>
      <c r="BH2" t="s">
        <v>476</v>
      </c>
      <c r="BI2">
        <v>281</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732.96280695331996</v>
      </c>
      <c r="CL2">
        <v>861.17975055608099</v>
      </c>
      <c r="CM2">
        <v>629.78</v>
      </c>
      <c r="CN2">
        <v>670.38</v>
      </c>
      <c r="CO2">
        <v>732.96</v>
      </c>
      <c r="CP2">
        <v>629.76</v>
      </c>
      <c r="CQ2">
        <v>861.18</v>
      </c>
      <c r="CR2">
        <v>670.34</v>
      </c>
      <c r="CS2">
        <v>949.23</v>
      </c>
      <c r="CT2">
        <v>757.04</v>
      </c>
      <c r="CU2">
        <v>367402</v>
      </c>
      <c r="CV2">
        <v>757.04</v>
      </c>
      <c r="CW2">
        <v>1</v>
      </c>
      <c r="CX2">
        <v>757.04</v>
      </c>
      <c r="CZ2">
        <v>1</v>
      </c>
      <c r="DA2">
        <v>1</v>
      </c>
      <c r="DB2">
        <v>1</v>
      </c>
      <c r="DC2">
        <v>1</v>
      </c>
      <c r="DD2" t="s">
        <v>1432</v>
      </c>
      <c r="DE2" t="s">
        <v>1374</v>
      </c>
      <c r="DF2">
        <v>0</v>
      </c>
      <c r="DG2">
        <v>0</v>
      </c>
      <c r="DH2">
        <v>0</v>
      </c>
    </row>
    <row r="3" spans="1:112" x14ac:dyDescent="0.35">
      <c r="A3">
        <v>197827</v>
      </c>
      <c r="B3">
        <v>197827</v>
      </c>
      <c r="C3" t="s">
        <v>1504</v>
      </c>
      <c r="D3" t="s">
        <v>121</v>
      </c>
      <c r="E3" t="s">
        <v>99</v>
      </c>
      <c r="F3" t="s">
        <v>104</v>
      </c>
      <c r="G3" t="s">
        <v>103</v>
      </c>
      <c r="J3">
        <v>356568903</v>
      </c>
      <c r="K3" t="s">
        <v>71</v>
      </c>
      <c r="L3" t="s">
        <v>1502</v>
      </c>
      <c r="M3" t="s">
        <v>39</v>
      </c>
      <c r="N3" t="s">
        <v>69</v>
      </c>
      <c r="P3" t="s">
        <v>1159</v>
      </c>
      <c r="Q3" t="s">
        <v>4</v>
      </c>
      <c r="T3" t="s">
        <v>6</v>
      </c>
      <c r="V3" t="s">
        <v>149</v>
      </c>
      <c r="W3" t="s">
        <v>1372</v>
      </c>
      <c r="Y3" t="s">
        <v>149</v>
      </c>
      <c r="AE3" t="s">
        <v>1411</v>
      </c>
      <c r="AF3" s="1">
        <v>45838</v>
      </c>
      <c r="AG3" t="s">
        <v>69</v>
      </c>
      <c r="AI3" t="s">
        <v>1410</v>
      </c>
      <c r="AJ3" t="s">
        <v>1453</v>
      </c>
      <c r="AK3" t="s">
        <v>1503</v>
      </c>
      <c r="AL3">
        <v>4600762</v>
      </c>
      <c r="AM3" t="s">
        <v>114</v>
      </c>
      <c r="AN3" t="s">
        <v>113</v>
      </c>
      <c r="AO3" t="s">
        <v>1502</v>
      </c>
      <c r="AP3" t="s">
        <v>71</v>
      </c>
      <c r="AQ3" t="s">
        <v>1501</v>
      </c>
      <c r="AR3" s="1">
        <v>44503</v>
      </c>
      <c r="AX3">
        <v>11</v>
      </c>
      <c r="AY3">
        <v>651282</v>
      </c>
      <c r="AZ3">
        <v>5562573</v>
      </c>
      <c r="BA3">
        <v>56947</v>
      </c>
      <c r="BB3" t="s">
        <v>322</v>
      </c>
      <c r="BC3" t="s">
        <v>1500</v>
      </c>
      <c r="BD3" t="s">
        <v>94</v>
      </c>
      <c r="BE3" t="s">
        <v>71</v>
      </c>
      <c r="BF3" t="s">
        <v>449</v>
      </c>
      <c r="BG3">
        <v>1</v>
      </c>
      <c r="BH3" t="s">
        <v>1499</v>
      </c>
      <c r="BI3">
        <v>12</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26.514208582441601</v>
      </c>
      <c r="CL3">
        <v>30.640813163217199</v>
      </c>
      <c r="CM3">
        <v>16.88</v>
      </c>
      <c r="CN3">
        <v>20.57</v>
      </c>
      <c r="CO3">
        <v>26.51</v>
      </c>
      <c r="CP3">
        <v>16.88</v>
      </c>
      <c r="CQ3">
        <v>30.64</v>
      </c>
      <c r="CR3">
        <v>20.56</v>
      </c>
      <c r="CS3">
        <v>31.09</v>
      </c>
      <c r="CT3">
        <v>21.01</v>
      </c>
      <c r="CU3">
        <v>409842</v>
      </c>
      <c r="CV3">
        <v>21.01</v>
      </c>
      <c r="CW3">
        <v>1</v>
      </c>
      <c r="CX3">
        <v>21.01</v>
      </c>
      <c r="CZ3">
        <v>1</v>
      </c>
      <c r="DA3">
        <v>1</v>
      </c>
      <c r="DB3">
        <v>1</v>
      </c>
      <c r="DC3">
        <v>1</v>
      </c>
      <c r="DD3" t="s">
        <v>1432</v>
      </c>
      <c r="DE3" t="s">
        <v>1374</v>
      </c>
      <c r="DF3">
        <f t="shared" ref="DF3:DF66" si="0">DF2+CX3</f>
        <v>21.01</v>
      </c>
      <c r="DG3">
        <v>1</v>
      </c>
      <c r="DH3">
        <f t="shared" ref="DH3:DH66" si="1">DH2+CT3</f>
        <v>21.01</v>
      </c>
    </row>
    <row r="4" spans="1:112" x14ac:dyDescent="0.35">
      <c r="A4">
        <v>197533</v>
      </c>
      <c r="B4">
        <v>197533</v>
      </c>
      <c r="C4" t="s">
        <v>1498</v>
      </c>
      <c r="D4" t="s">
        <v>121</v>
      </c>
      <c r="E4" t="s">
        <v>120</v>
      </c>
      <c r="F4" t="s">
        <v>104</v>
      </c>
      <c r="G4" t="s">
        <v>119</v>
      </c>
      <c r="H4" t="s">
        <v>1493</v>
      </c>
      <c r="J4">
        <v>356563721</v>
      </c>
      <c r="K4" t="s">
        <v>272</v>
      </c>
      <c r="L4" t="s">
        <v>1497</v>
      </c>
      <c r="M4" t="s">
        <v>39</v>
      </c>
      <c r="N4" t="s">
        <v>970</v>
      </c>
      <c r="P4" t="s">
        <v>1159</v>
      </c>
      <c r="Q4" t="s">
        <v>1387</v>
      </c>
      <c r="T4" t="s">
        <v>1157</v>
      </c>
      <c r="V4" t="s">
        <v>149</v>
      </c>
      <c r="W4" t="s">
        <v>1372</v>
      </c>
      <c r="X4">
        <v>700000</v>
      </c>
      <c r="Y4" t="s">
        <v>36</v>
      </c>
      <c r="AE4" t="s">
        <v>1266</v>
      </c>
      <c r="AF4" s="1">
        <v>45901</v>
      </c>
      <c r="AG4" t="s">
        <v>970</v>
      </c>
      <c r="AH4" t="s">
        <v>819</v>
      </c>
      <c r="AI4" t="s">
        <v>1496</v>
      </c>
      <c r="AJ4" t="s">
        <v>1495</v>
      </c>
      <c r="AK4" t="s">
        <v>1494</v>
      </c>
      <c r="AL4">
        <v>4600183</v>
      </c>
      <c r="AM4" t="s">
        <v>782</v>
      </c>
      <c r="AN4" t="s">
        <v>1450</v>
      </c>
      <c r="AO4" t="s">
        <v>1493</v>
      </c>
      <c r="AP4" t="s">
        <v>272</v>
      </c>
      <c r="AQ4" t="s">
        <v>1492</v>
      </c>
      <c r="AR4" s="1">
        <v>44091</v>
      </c>
      <c r="AX4">
        <v>11</v>
      </c>
      <c r="AY4">
        <v>651626</v>
      </c>
      <c r="AZ4">
        <v>5528887</v>
      </c>
      <c r="BA4">
        <v>601</v>
      </c>
      <c r="BB4" t="s">
        <v>234</v>
      </c>
      <c r="BC4" t="s">
        <v>234</v>
      </c>
      <c r="BD4" t="s">
        <v>94</v>
      </c>
      <c r="BE4" t="s">
        <v>232</v>
      </c>
      <c r="BF4" t="s">
        <v>449</v>
      </c>
      <c r="BG4">
        <v>1</v>
      </c>
      <c r="BH4">
        <v>197559</v>
      </c>
      <c r="BI4">
        <v>1</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18.9369850647718</v>
      </c>
      <c r="CL4">
        <v>21.687157248459201</v>
      </c>
      <c r="CM4">
        <v>0.13</v>
      </c>
      <c r="CN4">
        <v>0.13</v>
      </c>
      <c r="CO4">
        <v>18.940000000000001</v>
      </c>
      <c r="CP4">
        <v>0.13</v>
      </c>
      <c r="CQ4">
        <v>21.69</v>
      </c>
      <c r="CR4">
        <v>0.13</v>
      </c>
      <c r="CS4">
        <v>21.69</v>
      </c>
      <c r="CT4">
        <v>0.13</v>
      </c>
      <c r="CU4">
        <v>383682</v>
      </c>
      <c r="CV4">
        <v>21.69</v>
      </c>
      <c r="CW4">
        <v>2</v>
      </c>
      <c r="CX4">
        <v>10.845000000000001</v>
      </c>
      <c r="CZ4">
        <v>2</v>
      </c>
      <c r="DA4">
        <v>2</v>
      </c>
      <c r="DB4">
        <v>2</v>
      </c>
      <c r="DC4">
        <v>2</v>
      </c>
      <c r="DD4" t="s">
        <v>1432</v>
      </c>
      <c r="DE4" t="s">
        <v>1374</v>
      </c>
      <c r="DF4">
        <f t="shared" si="0"/>
        <v>31.855000000000004</v>
      </c>
      <c r="DG4">
        <v>2</v>
      </c>
      <c r="DH4">
        <f t="shared" si="1"/>
        <v>21.14</v>
      </c>
    </row>
    <row r="5" spans="1:112" x14ac:dyDescent="0.35">
      <c r="A5">
        <v>197559</v>
      </c>
      <c r="B5">
        <v>197559</v>
      </c>
      <c r="C5" t="s">
        <v>1491</v>
      </c>
      <c r="D5" t="s">
        <v>121</v>
      </c>
      <c r="E5" t="s">
        <v>120</v>
      </c>
      <c r="F5" t="s">
        <v>104</v>
      </c>
      <c r="G5" t="s">
        <v>119</v>
      </c>
      <c r="H5" t="s">
        <v>118</v>
      </c>
      <c r="J5">
        <v>356563721</v>
      </c>
      <c r="K5" t="s">
        <v>272</v>
      </c>
      <c r="L5" t="s">
        <v>112</v>
      </c>
      <c r="M5" t="s">
        <v>39</v>
      </c>
      <c r="N5" t="s">
        <v>970</v>
      </c>
      <c r="P5" t="s">
        <v>1159</v>
      </c>
      <c r="Q5" t="s">
        <v>1387</v>
      </c>
      <c r="T5" t="s">
        <v>1157</v>
      </c>
      <c r="V5" t="s">
        <v>36</v>
      </c>
      <c r="W5" t="s">
        <v>1372</v>
      </c>
      <c r="X5">
        <v>6100000</v>
      </c>
      <c r="Y5" t="s">
        <v>36</v>
      </c>
      <c r="AE5" t="s">
        <v>1266</v>
      </c>
      <c r="AF5" s="1">
        <v>45838</v>
      </c>
      <c r="AG5" t="s">
        <v>970</v>
      </c>
      <c r="AH5" t="s">
        <v>819</v>
      </c>
      <c r="AI5" t="s">
        <v>1490</v>
      </c>
      <c r="AJ5" t="s">
        <v>1489</v>
      </c>
      <c r="AK5" t="s">
        <v>1488</v>
      </c>
      <c r="AL5">
        <v>4600070</v>
      </c>
      <c r="AM5" t="s">
        <v>782</v>
      </c>
      <c r="AN5" t="s">
        <v>113</v>
      </c>
      <c r="AO5" t="s">
        <v>112</v>
      </c>
      <c r="AP5" t="s">
        <v>272</v>
      </c>
      <c r="AQ5" t="s">
        <v>1487</v>
      </c>
      <c r="AR5" s="1">
        <v>44091</v>
      </c>
      <c r="AX5">
        <v>11</v>
      </c>
      <c r="AY5">
        <v>651512</v>
      </c>
      <c r="AZ5">
        <v>5528837</v>
      </c>
      <c r="BA5">
        <v>731</v>
      </c>
      <c r="BB5" t="s">
        <v>234</v>
      </c>
      <c r="BC5" t="s">
        <v>234</v>
      </c>
      <c r="BD5" t="s">
        <v>94</v>
      </c>
      <c r="BE5" t="s">
        <v>232</v>
      </c>
      <c r="BF5" t="s">
        <v>1486</v>
      </c>
      <c r="BG5">
        <v>2</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18.806985064771801</v>
      </c>
      <c r="CL5">
        <v>21.557157248459198</v>
      </c>
      <c r="CM5">
        <v>18.809999999999999</v>
      </c>
      <c r="CN5">
        <v>21.56</v>
      </c>
      <c r="CO5">
        <v>18.809999999999999</v>
      </c>
      <c r="CP5">
        <v>18.809999999999999</v>
      </c>
      <c r="CQ5">
        <v>21.56</v>
      </c>
      <c r="CR5">
        <v>21.56</v>
      </c>
      <c r="CS5">
        <v>21.56</v>
      </c>
      <c r="CT5">
        <v>21.56</v>
      </c>
      <c r="CU5">
        <v>383682</v>
      </c>
      <c r="CV5">
        <v>21.69</v>
      </c>
      <c r="CW5">
        <v>2</v>
      </c>
      <c r="CX5">
        <v>10.845000000000001</v>
      </c>
      <c r="CZ5">
        <v>2</v>
      </c>
      <c r="DA5">
        <v>2</v>
      </c>
      <c r="DB5">
        <v>2</v>
      </c>
      <c r="DC5">
        <v>2</v>
      </c>
      <c r="DD5" t="s">
        <v>1432</v>
      </c>
      <c r="DE5" t="s">
        <v>1374</v>
      </c>
      <c r="DF5">
        <f t="shared" si="0"/>
        <v>42.7</v>
      </c>
      <c r="DG5">
        <v>3</v>
      </c>
      <c r="DH5">
        <f t="shared" si="1"/>
        <v>42.7</v>
      </c>
    </row>
    <row r="6" spans="1:112" x14ac:dyDescent="0.35">
      <c r="A6">
        <v>197534</v>
      </c>
      <c r="B6">
        <v>197534</v>
      </c>
      <c r="C6" t="s">
        <v>1485</v>
      </c>
      <c r="D6" t="s">
        <v>121</v>
      </c>
      <c r="E6" t="s">
        <v>120</v>
      </c>
      <c r="F6" t="s">
        <v>104</v>
      </c>
      <c r="G6" t="s">
        <v>119</v>
      </c>
      <c r="H6" t="s">
        <v>118</v>
      </c>
      <c r="J6">
        <v>356568905</v>
      </c>
      <c r="K6" t="s">
        <v>344</v>
      </c>
      <c r="L6" t="s">
        <v>112</v>
      </c>
      <c r="M6" t="s">
        <v>39</v>
      </c>
      <c r="N6" t="s">
        <v>970</v>
      </c>
      <c r="P6" t="s">
        <v>1159</v>
      </c>
      <c r="Q6" t="s">
        <v>1387</v>
      </c>
      <c r="T6" t="s">
        <v>1186</v>
      </c>
      <c r="U6" t="s">
        <v>1425</v>
      </c>
      <c r="V6" t="s">
        <v>149</v>
      </c>
      <c r="W6" t="s">
        <v>1372</v>
      </c>
      <c r="X6">
        <v>5000000</v>
      </c>
      <c r="Y6" t="s">
        <v>36</v>
      </c>
      <c r="AE6" t="s">
        <v>1266</v>
      </c>
      <c r="AF6" s="1">
        <v>45838</v>
      </c>
      <c r="AG6" t="s">
        <v>970</v>
      </c>
      <c r="AH6" t="s">
        <v>819</v>
      </c>
      <c r="AI6" t="s">
        <v>1484</v>
      </c>
      <c r="AJ6" t="s">
        <v>1483</v>
      </c>
      <c r="AK6" t="s">
        <v>1482</v>
      </c>
      <c r="AL6">
        <v>4600069</v>
      </c>
      <c r="AM6" t="s">
        <v>782</v>
      </c>
      <c r="AN6" t="s">
        <v>113</v>
      </c>
      <c r="AO6" t="s">
        <v>112</v>
      </c>
      <c r="AP6" t="s">
        <v>344</v>
      </c>
      <c r="AQ6" t="s">
        <v>1481</v>
      </c>
      <c r="AR6" s="1">
        <v>44091</v>
      </c>
      <c r="AX6">
        <v>11</v>
      </c>
      <c r="AY6">
        <v>650148</v>
      </c>
      <c r="AZ6">
        <v>5532049</v>
      </c>
      <c r="BA6">
        <v>1079</v>
      </c>
      <c r="BB6" t="s">
        <v>345</v>
      </c>
      <c r="BC6" t="s">
        <v>345</v>
      </c>
      <c r="BD6" t="s">
        <v>94</v>
      </c>
      <c r="BE6" t="s">
        <v>344</v>
      </c>
      <c r="BF6" t="s">
        <v>449</v>
      </c>
      <c r="BG6">
        <v>1</v>
      </c>
      <c r="BH6" t="s">
        <v>342</v>
      </c>
      <c r="BI6">
        <v>2</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8.2539348213531607</v>
      </c>
      <c r="CL6">
        <v>11.1309001687444</v>
      </c>
      <c r="CM6">
        <v>8.25</v>
      </c>
      <c r="CN6">
        <v>10.32</v>
      </c>
      <c r="CO6">
        <v>8.25</v>
      </c>
      <c r="CP6">
        <v>8.25</v>
      </c>
      <c r="CQ6">
        <v>11.13</v>
      </c>
      <c r="CR6">
        <v>10.32</v>
      </c>
      <c r="CS6">
        <v>11.13</v>
      </c>
      <c r="CT6">
        <v>10.32</v>
      </c>
      <c r="CU6">
        <v>374962</v>
      </c>
      <c r="CV6">
        <v>10.32</v>
      </c>
      <c r="CW6">
        <v>1</v>
      </c>
      <c r="CX6">
        <v>10.32</v>
      </c>
      <c r="CZ6">
        <v>3</v>
      </c>
      <c r="DA6">
        <v>3</v>
      </c>
      <c r="DB6">
        <v>3</v>
      </c>
      <c r="DC6">
        <v>3</v>
      </c>
      <c r="DD6" t="s">
        <v>1432</v>
      </c>
      <c r="DE6" t="s">
        <v>1374</v>
      </c>
      <c r="DF6">
        <f t="shared" si="0"/>
        <v>53.02</v>
      </c>
      <c r="DG6">
        <v>4</v>
      </c>
      <c r="DH6">
        <f t="shared" si="1"/>
        <v>53.02</v>
      </c>
    </row>
    <row r="7" spans="1:112" x14ac:dyDescent="0.35">
      <c r="A7">
        <v>1024752563</v>
      </c>
      <c r="B7">
        <v>1024752563</v>
      </c>
      <c r="C7" t="s">
        <v>1480</v>
      </c>
      <c r="D7" t="s">
        <v>100</v>
      </c>
      <c r="E7" t="s">
        <v>99</v>
      </c>
      <c r="F7" t="s">
        <v>104</v>
      </c>
      <c r="G7" t="s">
        <v>103</v>
      </c>
      <c r="J7">
        <v>356541848</v>
      </c>
      <c r="AL7">
        <v>24752563</v>
      </c>
      <c r="AX7">
        <v>11</v>
      </c>
      <c r="AY7">
        <v>645550</v>
      </c>
      <c r="AZ7">
        <v>5516931</v>
      </c>
      <c r="BA7">
        <v>316.22624752839198</v>
      </c>
      <c r="BB7" t="s">
        <v>1479</v>
      </c>
      <c r="BC7" t="s">
        <v>1479</v>
      </c>
      <c r="BD7" t="s">
        <v>94</v>
      </c>
      <c r="BE7" t="s">
        <v>1478</v>
      </c>
      <c r="BF7" t="s">
        <v>449</v>
      </c>
      <c r="BG7">
        <v>1</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3.5501607304795999</v>
      </c>
      <c r="CL7">
        <v>9.0065068005359006</v>
      </c>
      <c r="CM7">
        <v>3.55</v>
      </c>
      <c r="CN7">
        <v>9.01</v>
      </c>
      <c r="CO7">
        <v>3.55</v>
      </c>
      <c r="CP7">
        <v>3.55</v>
      </c>
      <c r="CQ7">
        <v>9.01</v>
      </c>
      <c r="CR7">
        <v>9.01</v>
      </c>
      <c r="CS7">
        <v>9.01</v>
      </c>
      <c r="CT7">
        <v>9.01</v>
      </c>
      <c r="CU7">
        <v>350982</v>
      </c>
      <c r="CV7">
        <v>9.01</v>
      </c>
      <c r="CW7">
        <v>1</v>
      </c>
      <c r="CX7">
        <v>9.01</v>
      </c>
      <c r="CZ7">
        <v>5</v>
      </c>
      <c r="DA7">
        <v>4</v>
      </c>
      <c r="DB7">
        <v>5</v>
      </c>
      <c r="DC7">
        <v>4</v>
      </c>
      <c r="DD7" t="s">
        <v>1432</v>
      </c>
      <c r="DE7" t="s">
        <v>1374</v>
      </c>
      <c r="DF7">
        <f t="shared" si="0"/>
        <v>62.03</v>
      </c>
      <c r="DG7">
        <v>5</v>
      </c>
      <c r="DH7">
        <f t="shared" si="1"/>
        <v>62.03</v>
      </c>
    </row>
    <row r="8" spans="1:112" x14ac:dyDescent="0.35">
      <c r="A8" t="s">
        <v>1477</v>
      </c>
      <c r="B8" t="s">
        <v>1477</v>
      </c>
      <c r="C8" t="s">
        <v>1476</v>
      </c>
      <c r="D8" t="s">
        <v>454</v>
      </c>
      <c r="E8" t="s">
        <v>453</v>
      </c>
      <c r="F8" t="s">
        <v>258</v>
      </c>
      <c r="G8" t="s">
        <v>119</v>
      </c>
      <c r="J8">
        <v>356553439</v>
      </c>
      <c r="K8" t="s">
        <v>364</v>
      </c>
      <c r="L8" t="s">
        <v>1475</v>
      </c>
      <c r="M8" t="s">
        <v>29</v>
      </c>
      <c r="N8" t="s">
        <v>69</v>
      </c>
      <c r="O8" t="s">
        <v>1474</v>
      </c>
      <c r="P8" t="s">
        <v>1159</v>
      </c>
      <c r="Q8" t="s">
        <v>1158</v>
      </c>
      <c r="T8" t="s">
        <v>1157</v>
      </c>
      <c r="V8" t="s">
        <v>149</v>
      </c>
      <c r="W8" t="s">
        <v>1372</v>
      </c>
      <c r="Y8" t="s">
        <v>149</v>
      </c>
      <c r="AE8" t="s">
        <v>1411</v>
      </c>
      <c r="AF8" s="1">
        <v>45838</v>
      </c>
      <c r="AG8" t="s">
        <v>69</v>
      </c>
      <c r="AI8" t="s">
        <v>1410</v>
      </c>
      <c r="AJ8" t="s">
        <v>1473</v>
      </c>
      <c r="AK8" t="s">
        <v>1472</v>
      </c>
      <c r="AN8" t="s">
        <v>453</v>
      </c>
      <c r="AS8" t="s">
        <v>1471</v>
      </c>
      <c r="AT8">
        <v>6.2</v>
      </c>
      <c r="AU8" t="s">
        <v>1470</v>
      </c>
      <c r="AV8" t="s">
        <v>6</v>
      </c>
      <c r="AW8" t="s">
        <v>1231</v>
      </c>
      <c r="AX8">
        <v>11</v>
      </c>
      <c r="AY8">
        <v>657051</v>
      </c>
      <c r="AZ8">
        <v>5522119</v>
      </c>
      <c r="BA8">
        <v>617.05870802602203</v>
      </c>
      <c r="BB8" t="s">
        <v>366</v>
      </c>
      <c r="BC8" t="s">
        <v>366</v>
      </c>
      <c r="BD8" t="s">
        <v>94</v>
      </c>
      <c r="BE8" t="s">
        <v>364</v>
      </c>
      <c r="BF8" t="s">
        <v>449</v>
      </c>
      <c r="BG8">
        <v>1</v>
      </c>
      <c r="BJ8">
        <v>24658290000574</v>
      </c>
      <c r="BK8">
        <v>24658290000574</v>
      </c>
      <c r="BL8">
        <v>24658290000574</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5.46568604686217</v>
      </c>
      <c r="CL8">
        <v>5.46568604686217</v>
      </c>
      <c r="CM8">
        <v>5.47</v>
      </c>
      <c r="CN8">
        <v>5.47</v>
      </c>
      <c r="CO8">
        <v>5.47</v>
      </c>
      <c r="CP8">
        <v>5.47</v>
      </c>
      <c r="CQ8">
        <v>5.47</v>
      </c>
      <c r="CR8">
        <v>5.47</v>
      </c>
      <c r="CS8">
        <v>5.47</v>
      </c>
      <c r="CT8">
        <v>5.47</v>
      </c>
      <c r="CU8">
        <v>366242</v>
      </c>
      <c r="CV8">
        <v>5.47</v>
      </c>
      <c r="CW8">
        <v>1</v>
      </c>
      <c r="CX8">
        <v>5.47</v>
      </c>
      <c r="CZ8">
        <v>6</v>
      </c>
      <c r="DA8">
        <v>5</v>
      </c>
      <c r="DB8">
        <v>10</v>
      </c>
      <c r="DC8">
        <v>5</v>
      </c>
      <c r="DD8" t="s">
        <v>1432</v>
      </c>
      <c r="DE8" t="s">
        <v>1374</v>
      </c>
      <c r="DF8">
        <f t="shared" si="0"/>
        <v>67.5</v>
      </c>
      <c r="DG8">
        <v>6</v>
      </c>
      <c r="DH8">
        <f t="shared" si="1"/>
        <v>67.5</v>
      </c>
    </row>
    <row r="9" spans="1:112" x14ac:dyDescent="0.35">
      <c r="A9">
        <v>1024760703</v>
      </c>
      <c r="B9">
        <v>1024760703</v>
      </c>
      <c r="C9" t="s">
        <v>1469</v>
      </c>
      <c r="D9" t="s">
        <v>100</v>
      </c>
      <c r="E9" t="s">
        <v>99</v>
      </c>
      <c r="F9" t="s">
        <v>104</v>
      </c>
      <c r="G9" t="s">
        <v>103</v>
      </c>
      <c r="J9">
        <v>356565783</v>
      </c>
      <c r="AL9">
        <v>24760703</v>
      </c>
      <c r="AX9">
        <v>11</v>
      </c>
      <c r="AY9">
        <v>668052</v>
      </c>
      <c r="AZ9">
        <v>5483461</v>
      </c>
      <c r="BA9">
        <v>45584.925417628401</v>
      </c>
      <c r="BB9" t="s">
        <v>329</v>
      </c>
      <c r="BC9" t="s">
        <v>1468</v>
      </c>
      <c r="BD9" t="s">
        <v>94</v>
      </c>
      <c r="BE9" t="s">
        <v>23</v>
      </c>
      <c r="BF9" t="s">
        <v>449</v>
      </c>
      <c r="BG9">
        <v>1</v>
      </c>
      <c r="BH9" t="s">
        <v>1467</v>
      </c>
      <c r="BI9">
        <v>3</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2.73726318411101</v>
      </c>
      <c r="CL9">
        <v>5.6271677508732498</v>
      </c>
      <c r="CM9">
        <v>2.74</v>
      </c>
      <c r="CN9">
        <v>4.49</v>
      </c>
      <c r="CO9">
        <v>2.74</v>
      </c>
      <c r="CP9">
        <v>2.74</v>
      </c>
      <c r="CQ9">
        <v>5.63</v>
      </c>
      <c r="CR9">
        <v>4.49</v>
      </c>
      <c r="CS9">
        <v>5.63</v>
      </c>
      <c r="CT9">
        <v>4.49</v>
      </c>
      <c r="CU9">
        <v>359702</v>
      </c>
      <c r="CV9">
        <v>4.49</v>
      </c>
      <c r="CW9">
        <v>1</v>
      </c>
      <c r="CX9">
        <v>4.49</v>
      </c>
      <c r="CZ9">
        <v>8</v>
      </c>
      <c r="DA9">
        <v>7</v>
      </c>
      <c r="DB9">
        <v>9</v>
      </c>
      <c r="DC9">
        <v>6</v>
      </c>
      <c r="DD9" t="s">
        <v>1432</v>
      </c>
      <c r="DE9" t="s">
        <v>1374</v>
      </c>
      <c r="DF9">
        <f t="shared" si="0"/>
        <v>71.989999999999995</v>
      </c>
      <c r="DG9">
        <v>7</v>
      </c>
      <c r="DH9">
        <f t="shared" si="1"/>
        <v>71.989999999999995</v>
      </c>
    </row>
    <row r="10" spans="1:112" x14ac:dyDescent="0.35">
      <c r="A10">
        <v>62245</v>
      </c>
      <c r="B10">
        <v>62245</v>
      </c>
      <c r="C10" t="s">
        <v>1466</v>
      </c>
      <c r="D10" t="s">
        <v>121</v>
      </c>
      <c r="E10" t="s">
        <v>99</v>
      </c>
      <c r="F10" t="s">
        <v>104</v>
      </c>
      <c r="G10" t="s">
        <v>97</v>
      </c>
      <c r="H10" t="s">
        <v>409</v>
      </c>
      <c r="J10">
        <v>356564993</v>
      </c>
      <c r="K10" t="s">
        <v>1458</v>
      </c>
      <c r="L10" t="s">
        <v>412</v>
      </c>
      <c r="M10" t="s">
        <v>39</v>
      </c>
      <c r="P10" t="s">
        <v>1122</v>
      </c>
      <c r="Q10" t="s">
        <v>1465</v>
      </c>
      <c r="Z10" t="s">
        <v>1120</v>
      </c>
      <c r="AA10" t="s">
        <v>1464</v>
      </c>
      <c r="AB10" s="1">
        <v>44834</v>
      </c>
      <c r="AE10" t="s">
        <v>1121</v>
      </c>
      <c r="AF10" s="1">
        <v>46599</v>
      </c>
      <c r="AG10" t="s">
        <v>819</v>
      </c>
      <c r="AH10" t="s">
        <v>1464</v>
      </c>
      <c r="AI10" t="s">
        <v>1463</v>
      </c>
      <c r="AK10" t="s">
        <v>1462</v>
      </c>
      <c r="AL10">
        <v>4605728</v>
      </c>
      <c r="AM10" t="s">
        <v>782</v>
      </c>
      <c r="AN10" t="s">
        <v>113</v>
      </c>
      <c r="AO10" t="s">
        <v>409</v>
      </c>
      <c r="AP10" t="s">
        <v>1461</v>
      </c>
      <c r="AQ10" t="s">
        <v>1460</v>
      </c>
      <c r="AR10" s="1">
        <v>41916</v>
      </c>
      <c r="AX10">
        <v>11</v>
      </c>
      <c r="AY10">
        <v>640783</v>
      </c>
      <c r="AZ10">
        <v>5598666</v>
      </c>
      <c r="BA10">
        <v>330</v>
      </c>
      <c r="BB10" t="s">
        <v>1459</v>
      </c>
      <c r="BC10" t="s">
        <v>1459</v>
      </c>
      <c r="BD10" t="s">
        <v>94</v>
      </c>
      <c r="BE10" t="s">
        <v>1458</v>
      </c>
      <c r="BF10" t="s">
        <v>449</v>
      </c>
      <c r="BG10">
        <v>1</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2.97458937842157</v>
      </c>
      <c r="CL10">
        <v>5.3259637760358398</v>
      </c>
      <c r="CM10">
        <v>2.97458937842157</v>
      </c>
      <c r="CN10">
        <v>5.3259637760358398</v>
      </c>
      <c r="CO10">
        <v>2.97</v>
      </c>
      <c r="CP10">
        <v>2.97</v>
      </c>
      <c r="CQ10">
        <v>5.33</v>
      </c>
      <c r="CR10">
        <v>5.33</v>
      </c>
      <c r="CS10">
        <v>5.33</v>
      </c>
      <c r="CT10">
        <v>5.33</v>
      </c>
      <c r="CU10">
        <v>451262</v>
      </c>
      <c r="CV10">
        <v>5.33</v>
      </c>
      <c r="CW10">
        <v>1</v>
      </c>
      <c r="CX10">
        <v>5.33</v>
      </c>
      <c r="CZ10">
        <v>7</v>
      </c>
      <c r="DA10">
        <v>6</v>
      </c>
      <c r="DB10">
        <v>11</v>
      </c>
      <c r="DC10">
        <v>7</v>
      </c>
      <c r="DD10" t="s">
        <v>1432</v>
      </c>
      <c r="DE10" t="s">
        <v>1374</v>
      </c>
      <c r="DF10">
        <f t="shared" si="0"/>
        <v>77.319999999999993</v>
      </c>
      <c r="DG10">
        <v>8</v>
      </c>
      <c r="DH10">
        <f t="shared" si="1"/>
        <v>77.319999999999993</v>
      </c>
    </row>
    <row r="11" spans="1:112" x14ac:dyDescent="0.35">
      <c r="A11">
        <v>1004604098</v>
      </c>
      <c r="C11" t="s">
        <v>1457</v>
      </c>
      <c r="D11" t="s">
        <v>100</v>
      </c>
      <c r="E11" t="s">
        <v>99</v>
      </c>
      <c r="F11" t="s">
        <v>104</v>
      </c>
      <c r="G11" t="s">
        <v>103</v>
      </c>
      <c r="J11">
        <v>356563871</v>
      </c>
      <c r="AL11">
        <v>4604098</v>
      </c>
      <c r="AX11">
        <v>11</v>
      </c>
      <c r="AY11">
        <v>661326</v>
      </c>
      <c r="AZ11">
        <v>5535954</v>
      </c>
      <c r="BA11">
        <v>13540.114040460199</v>
      </c>
      <c r="BB11" t="s">
        <v>96</v>
      </c>
      <c r="BC11" t="s">
        <v>102</v>
      </c>
      <c r="BD11" t="s">
        <v>94</v>
      </c>
      <c r="BE11" t="s">
        <v>93</v>
      </c>
      <c r="BF11" t="s">
        <v>1456</v>
      </c>
      <c r="BG11">
        <v>9</v>
      </c>
      <c r="BH11" t="s">
        <v>91</v>
      </c>
      <c r="BI11">
        <v>7</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4.9549322550097497</v>
      </c>
      <c r="CL11">
        <v>7.2346201538873398</v>
      </c>
      <c r="CM11">
        <v>4.78</v>
      </c>
      <c r="CN11">
        <v>5.1100000000000003</v>
      </c>
      <c r="CO11">
        <v>4.95</v>
      </c>
      <c r="CP11">
        <v>4.7699999999999996</v>
      </c>
      <c r="CQ11">
        <v>7.23</v>
      </c>
      <c r="CR11">
        <v>5.1100000000000003</v>
      </c>
      <c r="CS11">
        <v>7.23</v>
      </c>
      <c r="CT11">
        <v>5.1100000000000003</v>
      </c>
      <c r="CU11">
        <v>216963</v>
      </c>
      <c r="CV11">
        <v>5.18</v>
      </c>
      <c r="CW11">
        <v>8</v>
      </c>
      <c r="CX11">
        <v>5.1100000000000003</v>
      </c>
      <c r="CY11" t="s">
        <v>1455</v>
      </c>
      <c r="CZ11">
        <v>44</v>
      </c>
      <c r="DA11">
        <v>51</v>
      </c>
      <c r="DB11">
        <v>9</v>
      </c>
      <c r="DC11">
        <v>26</v>
      </c>
      <c r="DD11" t="s">
        <v>1340</v>
      </c>
      <c r="DE11" t="s">
        <v>0</v>
      </c>
      <c r="DF11">
        <f t="shared" si="0"/>
        <v>82.429999999999993</v>
      </c>
      <c r="DG11">
        <v>9</v>
      </c>
      <c r="DH11">
        <f t="shared" si="1"/>
        <v>82.429999999999993</v>
      </c>
    </row>
    <row r="12" spans="1:112" x14ac:dyDescent="0.35">
      <c r="A12">
        <v>197542</v>
      </c>
      <c r="B12">
        <v>197542</v>
      </c>
      <c r="C12" t="s">
        <v>1454</v>
      </c>
      <c r="D12" t="s">
        <v>121</v>
      </c>
      <c r="E12" t="s">
        <v>120</v>
      </c>
      <c r="F12" t="s">
        <v>104</v>
      </c>
      <c r="G12" t="s">
        <v>119</v>
      </c>
      <c r="H12" t="s">
        <v>971</v>
      </c>
      <c r="J12">
        <v>356519898</v>
      </c>
      <c r="K12" t="s">
        <v>199</v>
      </c>
      <c r="L12" t="s">
        <v>965</v>
      </c>
      <c r="M12" t="s">
        <v>39</v>
      </c>
      <c r="N12" t="s">
        <v>970</v>
      </c>
      <c r="P12" t="s">
        <v>1159</v>
      </c>
      <c r="Q12" t="s">
        <v>1158</v>
      </c>
      <c r="T12" t="s">
        <v>6</v>
      </c>
      <c r="V12" t="s">
        <v>149</v>
      </c>
      <c r="W12" t="s">
        <v>1156</v>
      </c>
      <c r="Y12" t="s">
        <v>149</v>
      </c>
      <c r="AE12" t="s">
        <v>1411</v>
      </c>
      <c r="AF12" s="1">
        <v>46022</v>
      </c>
      <c r="AG12" t="s">
        <v>970</v>
      </c>
      <c r="AI12" t="s">
        <v>1453</v>
      </c>
      <c r="AJ12" t="s">
        <v>1452</v>
      </c>
      <c r="AK12" t="s">
        <v>1451</v>
      </c>
      <c r="AL12">
        <v>4600367</v>
      </c>
      <c r="AM12" t="s">
        <v>782</v>
      </c>
      <c r="AN12" t="s">
        <v>1450</v>
      </c>
      <c r="AO12" t="s">
        <v>965</v>
      </c>
      <c r="AP12" t="s">
        <v>199</v>
      </c>
      <c r="AQ12" t="s">
        <v>1449</v>
      </c>
      <c r="AR12" s="1">
        <v>44092</v>
      </c>
      <c r="AX12">
        <v>11</v>
      </c>
      <c r="AY12">
        <v>643537</v>
      </c>
      <c r="AZ12">
        <v>5490723</v>
      </c>
      <c r="BA12">
        <v>966</v>
      </c>
      <c r="BB12" t="s">
        <v>200</v>
      </c>
      <c r="BC12" t="s">
        <v>200</v>
      </c>
      <c r="BD12" t="s">
        <v>94</v>
      </c>
      <c r="BE12" t="s">
        <v>199</v>
      </c>
      <c r="BF12" t="s">
        <v>449</v>
      </c>
      <c r="BG12">
        <v>1</v>
      </c>
      <c r="BH12" t="s">
        <v>1448</v>
      </c>
      <c r="BI12">
        <v>2</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7.2120682123649704</v>
      </c>
      <c r="CL12">
        <v>7.8820007246291599</v>
      </c>
      <c r="CM12">
        <v>0.02</v>
      </c>
      <c r="CN12">
        <v>0.02</v>
      </c>
      <c r="CO12">
        <v>7.21</v>
      </c>
      <c r="CP12">
        <v>0.01</v>
      </c>
      <c r="CQ12">
        <v>7.88</v>
      </c>
      <c r="CR12">
        <v>0.01</v>
      </c>
      <c r="CS12">
        <v>7.88</v>
      </c>
      <c r="CT12">
        <v>0.01</v>
      </c>
      <c r="CU12">
        <v>470882</v>
      </c>
      <c r="CV12">
        <v>7.88</v>
      </c>
      <c r="CW12">
        <v>3</v>
      </c>
      <c r="CX12">
        <v>2.62666666666667</v>
      </c>
      <c r="CZ12">
        <v>12</v>
      </c>
      <c r="DA12">
        <v>11</v>
      </c>
      <c r="DB12">
        <v>7</v>
      </c>
      <c r="DC12">
        <v>8</v>
      </c>
      <c r="DD12" t="s">
        <v>1432</v>
      </c>
      <c r="DE12" t="s">
        <v>1374</v>
      </c>
      <c r="DF12">
        <f t="shared" si="0"/>
        <v>85.056666666666658</v>
      </c>
      <c r="DG12">
        <v>10</v>
      </c>
      <c r="DH12">
        <f t="shared" si="1"/>
        <v>82.44</v>
      </c>
    </row>
    <row r="13" spans="1:112" x14ac:dyDescent="0.35">
      <c r="A13" t="s">
        <v>1447</v>
      </c>
      <c r="B13" t="s">
        <v>1447</v>
      </c>
      <c r="C13" t="s">
        <v>1446</v>
      </c>
      <c r="D13" t="s">
        <v>454</v>
      </c>
      <c r="E13" t="s">
        <v>453</v>
      </c>
      <c r="F13" t="s">
        <v>258</v>
      </c>
      <c r="G13" t="s">
        <v>103</v>
      </c>
      <c r="J13">
        <v>356519898</v>
      </c>
      <c r="K13" t="s">
        <v>199</v>
      </c>
      <c r="L13" t="s">
        <v>30</v>
      </c>
      <c r="M13" t="s">
        <v>29</v>
      </c>
      <c r="P13" t="s">
        <v>1159</v>
      </c>
      <c r="Q13" t="s">
        <v>37</v>
      </c>
      <c r="U13" t="s">
        <v>1425</v>
      </c>
      <c r="V13" t="s">
        <v>149</v>
      </c>
      <c r="W13" t="s">
        <v>1267</v>
      </c>
      <c r="AE13" t="s">
        <v>1424</v>
      </c>
      <c r="AI13" t="s">
        <v>1445</v>
      </c>
      <c r="AJ13" t="s">
        <v>1444</v>
      </c>
      <c r="AK13" t="s">
        <v>27</v>
      </c>
      <c r="AN13" t="s">
        <v>453</v>
      </c>
      <c r="AV13" t="s">
        <v>6</v>
      </c>
      <c r="AW13" t="s">
        <v>6</v>
      </c>
      <c r="AX13">
        <v>11</v>
      </c>
      <c r="AY13">
        <v>643532</v>
      </c>
      <c r="AZ13">
        <v>5490740</v>
      </c>
      <c r="BA13">
        <v>983.35677407561695</v>
      </c>
      <c r="BB13" t="s">
        <v>200</v>
      </c>
      <c r="BC13" t="s">
        <v>200</v>
      </c>
      <c r="BD13" t="s">
        <v>94</v>
      </c>
      <c r="BE13" t="s">
        <v>199</v>
      </c>
      <c r="BF13" t="s">
        <v>1443</v>
      </c>
      <c r="BG13">
        <v>2</v>
      </c>
      <c r="BH13" t="s">
        <v>1442</v>
      </c>
      <c r="BI13">
        <v>1</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7.1950682123649896</v>
      </c>
      <c r="CL13">
        <v>7.8650007246291702</v>
      </c>
      <c r="CM13">
        <v>0.04</v>
      </c>
      <c r="CN13">
        <v>0.04</v>
      </c>
      <c r="CO13">
        <v>7.2</v>
      </c>
      <c r="CP13">
        <v>0.04</v>
      </c>
      <c r="CQ13">
        <v>7.87</v>
      </c>
      <c r="CR13">
        <v>0.04</v>
      </c>
      <c r="CS13">
        <v>7.87</v>
      </c>
      <c r="CT13">
        <v>0.04</v>
      </c>
      <c r="CU13">
        <v>470882</v>
      </c>
      <c r="CV13">
        <v>7.88</v>
      </c>
      <c r="CW13">
        <v>3</v>
      </c>
      <c r="CX13">
        <v>2.62666666666667</v>
      </c>
      <c r="CZ13">
        <v>12</v>
      </c>
      <c r="DA13">
        <v>11</v>
      </c>
      <c r="DB13">
        <v>7</v>
      </c>
      <c r="DC13">
        <v>8</v>
      </c>
      <c r="DD13" t="s">
        <v>1432</v>
      </c>
      <c r="DE13" t="s">
        <v>1374</v>
      </c>
      <c r="DF13">
        <f t="shared" si="0"/>
        <v>87.683333333333323</v>
      </c>
      <c r="DG13">
        <v>11</v>
      </c>
      <c r="DH13">
        <f t="shared" si="1"/>
        <v>82.48</v>
      </c>
    </row>
    <row r="14" spans="1:112" x14ac:dyDescent="0.35">
      <c r="A14" t="s">
        <v>1442</v>
      </c>
      <c r="B14" t="s">
        <v>1442</v>
      </c>
      <c r="C14" t="s">
        <v>1441</v>
      </c>
      <c r="D14" t="s">
        <v>454</v>
      </c>
      <c r="E14" t="s">
        <v>453</v>
      </c>
      <c r="F14" t="s">
        <v>258</v>
      </c>
      <c r="G14" t="s">
        <v>103</v>
      </c>
      <c r="J14">
        <v>356519898</v>
      </c>
      <c r="K14" t="s">
        <v>199</v>
      </c>
      <c r="L14" t="s">
        <v>30</v>
      </c>
      <c r="M14" t="s">
        <v>29</v>
      </c>
      <c r="P14" t="s">
        <v>1159</v>
      </c>
      <c r="Q14" t="s">
        <v>37</v>
      </c>
      <c r="U14" t="s">
        <v>1425</v>
      </c>
      <c r="V14" t="s">
        <v>149</v>
      </c>
      <c r="W14" t="s">
        <v>1267</v>
      </c>
      <c r="AE14" t="s">
        <v>1424</v>
      </c>
      <c r="AI14" t="s">
        <v>1440</v>
      </c>
      <c r="AK14" t="s">
        <v>27</v>
      </c>
      <c r="AN14" t="s">
        <v>453</v>
      </c>
      <c r="AV14" t="s">
        <v>6</v>
      </c>
      <c r="AW14" t="s">
        <v>6</v>
      </c>
      <c r="AX14">
        <v>11</v>
      </c>
      <c r="AY14">
        <v>643524</v>
      </c>
      <c r="AZ14">
        <v>5490776</v>
      </c>
      <c r="BA14">
        <v>1020.58888948017</v>
      </c>
      <c r="BB14" t="s">
        <v>200</v>
      </c>
      <c r="BC14" t="s">
        <v>200</v>
      </c>
      <c r="BD14" t="s">
        <v>94</v>
      </c>
      <c r="BE14" t="s">
        <v>199</v>
      </c>
      <c r="BF14" t="s">
        <v>1439</v>
      </c>
      <c r="BG14">
        <v>3</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7.1570682123650098</v>
      </c>
      <c r="CL14">
        <v>7.8270007246291904</v>
      </c>
      <c r="CM14">
        <v>7.16</v>
      </c>
      <c r="CN14">
        <v>7.83</v>
      </c>
      <c r="CO14">
        <v>7.16</v>
      </c>
      <c r="CP14">
        <v>7.16</v>
      </c>
      <c r="CQ14">
        <v>7.83</v>
      </c>
      <c r="CR14">
        <v>7.83</v>
      </c>
      <c r="CS14">
        <v>7.83</v>
      </c>
      <c r="CT14">
        <v>7.83</v>
      </c>
      <c r="CU14">
        <v>470882</v>
      </c>
      <c r="CV14">
        <v>7.88</v>
      </c>
      <c r="CW14">
        <v>3</v>
      </c>
      <c r="CX14">
        <v>2.62666666666667</v>
      </c>
      <c r="CZ14">
        <v>12</v>
      </c>
      <c r="DA14">
        <v>11</v>
      </c>
      <c r="DB14">
        <v>7</v>
      </c>
      <c r="DC14">
        <v>8</v>
      </c>
      <c r="DD14" t="s">
        <v>1432</v>
      </c>
      <c r="DE14" t="s">
        <v>1374</v>
      </c>
      <c r="DF14">
        <f t="shared" si="0"/>
        <v>90.309999999999988</v>
      </c>
      <c r="DG14">
        <v>12</v>
      </c>
      <c r="DH14">
        <f t="shared" si="1"/>
        <v>90.31</v>
      </c>
    </row>
    <row r="15" spans="1:112" x14ac:dyDescent="0.35">
      <c r="A15">
        <v>1004602974</v>
      </c>
      <c r="B15">
        <v>1004602974</v>
      </c>
      <c r="C15" t="s">
        <v>1438</v>
      </c>
      <c r="D15" t="s">
        <v>100</v>
      </c>
      <c r="E15" t="s">
        <v>99</v>
      </c>
      <c r="F15" t="s">
        <v>104</v>
      </c>
      <c r="G15" t="s">
        <v>103</v>
      </c>
      <c r="J15">
        <v>356560087</v>
      </c>
      <c r="K15" t="s">
        <v>1056</v>
      </c>
      <c r="L15" t="s">
        <v>1057</v>
      </c>
      <c r="M15" t="s">
        <v>39</v>
      </c>
      <c r="N15" t="s">
        <v>1268</v>
      </c>
      <c r="P15" t="s">
        <v>1159</v>
      </c>
      <c r="Q15" t="s">
        <v>47</v>
      </c>
      <c r="T15" t="s">
        <v>6</v>
      </c>
      <c r="V15" t="s">
        <v>149</v>
      </c>
      <c r="W15" t="s">
        <v>1267</v>
      </c>
      <c r="X15">
        <v>500000</v>
      </c>
      <c r="Y15" t="s">
        <v>36</v>
      </c>
      <c r="AE15" t="s">
        <v>1424</v>
      </c>
      <c r="AI15" t="s">
        <v>1437</v>
      </c>
      <c r="AJ15" t="s">
        <v>1263</v>
      </c>
      <c r="AK15" t="s">
        <v>1436</v>
      </c>
      <c r="AL15">
        <v>4602974</v>
      </c>
      <c r="AX15">
        <v>11</v>
      </c>
      <c r="AY15">
        <v>653549</v>
      </c>
      <c r="AZ15">
        <v>5539092</v>
      </c>
      <c r="BA15">
        <v>1285.01004451174</v>
      </c>
      <c r="BB15" t="s">
        <v>1259</v>
      </c>
      <c r="BC15" t="s">
        <v>1435</v>
      </c>
      <c r="BD15" t="s">
        <v>94</v>
      </c>
      <c r="BE15" t="s">
        <v>1056</v>
      </c>
      <c r="BF15" t="s">
        <v>449</v>
      </c>
      <c r="BG15">
        <v>1</v>
      </c>
      <c r="BH15" t="s">
        <v>1434</v>
      </c>
      <c r="BI15">
        <v>2</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0.128365012771292</v>
      </c>
      <c r="CL15">
        <v>4.5908625151784301</v>
      </c>
      <c r="CM15">
        <v>0.13</v>
      </c>
      <c r="CN15">
        <v>3.24</v>
      </c>
      <c r="CO15">
        <v>0.13</v>
      </c>
      <c r="CP15">
        <v>0.13</v>
      </c>
      <c r="CQ15">
        <v>4.59</v>
      </c>
      <c r="CR15">
        <v>3.24</v>
      </c>
      <c r="CS15">
        <v>4.59</v>
      </c>
      <c r="CT15">
        <v>3.24</v>
      </c>
      <c r="CU15">
        <v>167862</v>
      </c>
      <c r="CV15">
        <v>3.24</v>
      </c>
      <c r="CW15">
        <v>1</v>
      </c>
      <c r="CX15">
        <v>3.24</v>
      </c>
      <c r="CZ15">
        <v>9</v>
      </c>
      <c r="DA15">
        <v>8</v>
      </c>
      <c r="DB15">
        <v>13</v>
      </c>
      <c r="DC15">
        <v>9</v>
      </c>
      <c r="DD15" t="s">
        <v>1432</v>
      </c>
      <c r="DE15" t="s">
        <v>1374</v>
      </c>
      <c r="DF15">
        <f t="shared" si="0"/>
        <v>93.549999999999983</v>
      </c>
      <c r="DG15">
        <v>13</v>
      </c>
      <c r="DH15">
        <f t="shared" si="1"/>
        <v>93.55</v>
      </c>
    </row>
    <row r="16" spans="1:112" x14ac:dyDescent="0.35">
      <c r="A16">
        <v>1024734526</v>
      </c>
      <c r="B16">
        <v>1024734526</v>
      </c>
      <c r="C16" t="s">
        <v>1433</v>
      </c>
      <c r="D16" t="s">
        <v>100</v>
      </c>
      <c r="E16" t="s">
        <v>99</v>
      </c>
      <c r="F16" t="s">
        <v>104</v>
      </c>
      <c r="G16" t="s">
        <v>103</v>
      </c>
      <c r="J16">
        <v>356569311</v>
      </c>
      <c r="AL16">
        <v>24734526</v>
      </c>
      <c r="AX16">
        <v>11</v>
      </c>
      <c r="AY16">
        <v>665630</v>
      </c>
      <c r="AZ16">
        <v>5509795</v>
      </c>
      <c r="BA16">
        <v>792.75953727233298</v>
      </c>
      <c r="BB16" t="s">
        <v>441</v>
      </c>
      <c r="BC16" t="s">
        <v>441</v>
      </c>
      <c r="BD16" t="s">
        <v>94</v>
      </c>
      <c r="BF16" t="s">
        <v>449</v>
      </c>
      <c r="BG16">
        <v>1</v>
      </c>
      <c r="BH16">
        <v>1004603990</v>
      </c>
      <c r="BI16">
        <v>1</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0.30843159790807601</v>
      </c>
      <c r="CL16">
        <v>3.14273456720553</v>
      </c>
      <c r="CM16">
        <v>0.31</v>
      </c>
      <c r="CN16">
        <v>2.94</v>
      </c>
      <c r="CO16">
        <v>0.31</v>
      </c>
      <c r="CP16">
        <v>0.31</v>
      </c>
      <c r="CQ16">
        <v>3.14</v>
      </c>
      <c r="CR16">
        <v>2.94</v>
      </c>
      <c r="CS16">
        <v>3.14</v>
      </c>
      <c r="CT16">
        <v>2.94</v>
      </c>
      <c r="CU16">
        <v>320462</v>
      </c>
      <c r="CV16">
        <v>2.94</v>
      </c>
      <c r="CW16">
        <v>1</v>
      </c>
      <c r="CX16">
        <v>2.94</v>
      </c>
      <c r="CZ16">
        <v>10</v>
      </c>
      <c r="DA16">
        <v>9</v>
      </c>
      <c r="DB16">
        <v>17</v>
      </c>
      <c r="DC16">
        <v>10</v>
      </c>
      <c r="DD16" t="s">
        <v>1432</v>
      </c>
      <c r="DE16" t="s">
        <v>1374</v>
      </c>
      <c r="DF16">
        <f t="shared" si="0"/>
        <v>96.489999999999981</v>
      </c>
      <c r="DG16">
        <v>14</v>
      </c>
      <c r="DH16">
        <f t="shared" si="1"/>
        <v>96.49</v>
      </c>
    </row>
    <row r="17" spans="1:112" x14ac:dyDescent="0.35">
      <c r="A17">
        <v>1004600851</v>
      </c>
      <c r="B17">
        <v>1004600851</v>
      </c>
      <c r="C17" t="s">
        <v>1431</v>
      </c>
      <c r="D17" t="s">
        <v>100</v>
      </c>
      <c r="E17" t="s">
        <v>99</v>
      </c>
      <c r="F17" t="s">
        <v>104</v>
      </c>
      <c r="G17" t="s">
        <v>103</v>
      </c>
      <c r="J17">
        <v>356569619</v>
      </c>
      <c r="AL17">
        <v>4600851</v>
      </c>
      <c r="AX17">
        <v>11</v>
      </c>
      <c r="AY17">
        <v>662294</v>
      </c>
      <c r="AZ17">
        <v>5481948</v>
      </c>
      <c r="BA17">
        <v>19028.163289073698</v>
      </c>
      <c r="BB17" t="s">
        <v>495</v>
      </c>
      <c r="BC17" t="s">
        <v>1430</v>
      </c>
      <c r="BD17" t="s">
        <v>94</v>
      </c>
      <c r="BE17" t="s">
        <v>528</v>
      </c>
      <c r="BF17" t="s">
        <v>449</v>
      </c>
      <c r="BG17">
        <v>1</v>
      </c>
      <c r="BH17" t="s">
        <v>1429</v>
      </c>
      <c r="BI17">
        <v>2</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3.2291879643610999</v>
      </c>
      <c r="CM17">
        <v>0</v>
      </c>
      <c r="CN17">
        <v>2.6</v>
      </c>
      <c r="CO17">
        <v>0</v>
      </c>
      <c r="CP17">
        <v>0</v>
      </c>
      <c r="CQ17">
        <v>3.23</v>
      </c>
      <c r="CR17">
        <v>2.6</v>
      </c>
      <c r="CS17">
        <v>3.23</v>
      </c>
      <c r="CT17">
        <v>2.6</v>
      </c>
      <c r="CU17">
        <v>93742</v>
      </c>
      <c r="CV17">
        <v>2.6</v>
      </c>
      <c r="CW17">
        <v>1</v>
      </c>
      <c r="CX17">
        <v>2.6</v>
      </c>
      <c r="CZ17">
        <v>13</v>
      </c>
      <c r="DA17">
        <v>12</v>
      </c>
      <c r="DB17">
        <v>16</v>
      </c>
      <c r="DC17">
        <v>11</v>
      </c>
      <c r="DD17" t="s">
        <v>1375</v>
      </c>
      <c r="DE17" t="s">
        <v>1374</v>
      </c>
      <c r="DF17">
        <f t="shared" si="0"/>
        <v>99.089999999999975</v>
      </c>
      <c r="DG17">
        <v>15</v>
      </c>
      <c r="DH17">
        <f t="shared" si="1"/>
        <v>99.089999999999989</v>
      </c>
    </row>
    <row r="18" spans="1:112" x14ac:dyDescent="0.35">
      <c r="A18">
        <v>50185</v>
      </c>
      <c r="B18">
        <v>50185</v>
      </c>
      <c r="C18" t="s">
        <v>1428</v>
      </c>
      <c r="D18" t="s">
        <v>121</v>
      </c>
      <c r="E18" t="s">
        <v>99</v>
      </c>
      <c r="F18" t="s">
        <v>104</v>
      </c>
      <c r="G18" t="s">
        <v>119</v>
      </c>
      <c r="H18" t="s">
        <v>502</v>
      </c>
      <c r="J18">
        <v>356568403</v>
      </c>
      <c r="K18" t="s">
        <v>74</v>
      </c>
      <c r="L18" t="s">
        <v>1427</v>
      </c>
      <c r="M18" t="s">
        <v>39</v>
      </c>
      <c r="N18" t="s">
        <v>1426</v>
      </c>
      <c r="P18" t="s">
        <v>1159</v>
      </c>
      <c r="Q18" t="s">
        <v>1387</v>
      </c>
      <c r="T18" t="s">
        <v>1186</v>
      </c>
      <c r="U18" t="s">
        <v>1425</v>
      </c>
      <c r="V18" t="s">
        <v>149</v>
      </c>
      <c r="W18" t="s">
        <v>1267</v>
      </c>
      <c r="X18">
        <v>125000</v>
      </c>
      <c r="Y18" t="s">
        <v>149</v>
      </c>
      <c r="AE18" t="s">
        <v>1424</v>
      </c>
      <c r="AF18" s="1">
        <v>45716</v>
      </c>
      <c r="AG18" t="s">
        <v>819</v>
      </c>
      <c r="AI18" t="s">
        <v>1423</v>
      </c>
      <c r="AJ18" t="s">
        <v>1422</v>
      </c>
      <c r="AK18" t="s">
        <v>1421</v>
      </c>
      <c r="AL18">
        <v>4605191</v>
      </c>
      <c r="AM18" t="s">
        <v>782</v>
      </c>
      <c r="AN18" t="s">
        <v>113</v>
      </c>
      <c r="AO18" t="s">
        <v>502</v>
      </c>
      <c r="AP18" t="s">
        <v>1420</v>
      </c>
      <c r="AQ18" t="s">
        <v>1419</v>
      </c>
      <c r="AR18" s="1">
        <v>44095</v>
      </c>
      <c r="AX18">
        <v>11</v>
      </c>
      <c r="AY18">
        <v>645679</v>
      </c>
      <c r="AZ18">
        <v>5469020</v>
      </c>
      <c r="BA18">
        <v>214</v>
      </c>
      <c r="BB18" t="s">
        <v>316</v>
      </c>
      <c r="BC18" t="s">
        <v>316</v>
      </c>
      <c r="BD18" t="s">
        <v>94</v>
      </c>
      <c r="BF18" t="s">
        <v>449</v>
      </c>
      <c r="BG18">
        <v>1</v>
      </c>
      <c r="BH18" t="s">
        <v>1418</v>
      </c>
      <c r="BI18">
        <v>2</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1.9690333502448301</v>
      </c>
      <c r="CL18">
        <v>3.1097676650186501</v>
      </c>
      <c r="CM18">
        <v>1.97</v>
      </c>
      <c r="CN18">
        <v>2.89</v>
      </c>
      <c r="CO18">
        <v>1.97</v>
      </c>
      <c r="CP18">
        <v>1.97</v>
      </c>
      <c r="CQ18">
        <v>3.11</v>
      </c>
      <c r="CR18">
        <v>2.89</v>
      </c>
      <c r="CS18">
        <v>3.11</v>
      </c>
      <c r="CT18">
        <v>2.89</v>
      </c>
      <c r="CU18">
        <v>429462</v>
      </c>
      <c r="CV18">
        <v>2.89</v>
      </c>
      <c r="CW18">
        <v>1</v>
      </c>
      <c r="CX18">
        <v>2.89</v>
      </c>
      <c r="CZ18">
        <v>11</v>
      </c>
      <c r="DA18">
        <v>10</v>
      </c>
      <c r="DB18">
        <v>18</v>
      </c>
      <c r="DC18">
        <v>12</v>
      </c>
      <c r="DD18" t="s">
        <v>1375</v>
      </c>
      <c r="DE18" t="s">
        <v>1374</v>
      </c>
      <c r="DF18">
        <f t="shared" si="0"/>
        <v>101.97999999999998</v>
      </c>
      <c r="DG18">
        <v>16</v>
      </c>
      <c r="DH18">
        <f t="shared" si="1"/>
        <v>101.97999999999999</v>
      </c>
    </row>
    <row r="19" spans="1:112" x14ac:dyDescent="0.35">
      <c r="A19">
        <v>62182</v>
      </c>
      <c r="B19">
        <v>62182</v>
      </c>
      <c r="C19" t="s">
        <v>1417</v>
      </c>
      <c r="D19" t="s">
        <v>121</v>
      </c>
      <c r="E19" t="s">
        <v>120</v>
      </c>
      <c r="F19" t="s">
        <v>104</v>
      </c>
      <c r="G19" t="s">
        <v>119</v>
      </c>
      <c r="H19" t="s">
        <v>526</v>
      </c>
      <c r="J19">
        <v>356554901</v>
      </c>
      <c r="K19" t="s">
        <v>302</v>
      </c>
      <c r="L19" t="s">
        <v>1415</v>
      </c>
      <c r="M19" t="s">
        <v>39</v>
      </c>
      <c r="N19" t="s">
        <v>970</v>
      </c>
      <c r="P19" t="s">
        <v>1159</v>
      </c>
      <c r="Q19" t="s">
        <v>37</v>
      </c>
      <c r="T19" t="s">
        <v>6</v>
      </c>
      <c r="V19" t="s">
        <v>36</v>
      </c>
      <c r="W19" t="s">
        <v>1372</v>
      </c>
      <c r="Y19" t="s">
        <v>149</v>
      </c>
      <c r="AE19" t="s">
        <v>1411</v>
      </c>
      <c r="AF19" s="1">
        <v>46387</v>
      </c>
      <c r="AG19" t="s">
        <v>69</v>
      </c>
      <c r="AI19" t="s">
        <v>1410</v>
      </c>
      <c r="AJ19" t="s">
        <v>1416</v>
      </c>
      <c r="AK19" t="s">
        <v>1408</v>
      </c>
      <c r="AL19">
        <v>4600284</v>
      </c>
      <c r="AM19" t="s">
        <v>782</v>
      </c>
      <c r="AN19" t="s">
        <v>113</v>
      </c>
      <c r="AO19" t="s">
        <v>1415</v>
      </c>
      <c r="AP19" t="s">
        <v>302</v>
      </c>
      <c r="AQ19" t="s">
        <v>1414</v>
      </c>
      <c r="AR19" s="1">
        <v>44468</v>
      </c>
      <c r="AX19">
        <v>11</v>
      </c>
      <c r="AY19">
        <v>656390</v>
      </c>
      <c r="AZ19">
        <v>5544771</v>
      </c>
      <c r="BA19">
        <v>985</v>
      </c>
      <c r="BB19" t="s">
        <v>300</v>
      </c>
      <c r="BC19" t="s">
        <v>304</v>
      </c>
      <c r="BD19" t="s">
        <v>94</v>
      </c>
      <c r="BF19" t="s">
        <v>449</v>
      </c>
      <c r="BG19">
        <v>1</v>
      </c>
      <c r="BH19">
        <v>62181</v>
      </c>
      <c r="BI19">
        <v>1</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4.3316490869858901</v>
      </c>
      <c r="CL19">
        <v>4.5551176666498003</v>
      </c>
      <c r="CM19">
        <v>0.02</v>
      </c>
      <c r="CN19">
        <v>0.02</v>
      </c>
      <c r="CO19">
        <v>4.33</v>
      </c>
      <c r="CP19">
        <v>0.02</v>
      </c>
      <c r="CQ19">
        <v>4.5599999999999996</v>
      </c>
      <c r="CR19">
        <v>0.03</v>
      </c>
      <c r="CS19">
        <v>4.5599999999999996</v>
      </c>
      <c r="CT19">
        <v>0.03</v>
      </c>
      <c r="CU19">
        <v>446902</v>
      </c>
      <c r="CV19">
        <v>4.5599999999999996</v>
      </c>
      <c r="CW19">
        <v>2</v>
      </c>
      <c r="CX19">
        <v>2.2799999999999998</v>
      </c>
      <c r="CZ19">
        <v>15</v>
      </c>
      <c r="DA19">
        <v>14</v>
      </c>
      <c r="DB19">
        <v>14</v>
      </c>
      <c r="DC19">
        <v>13</v>
      </c>
      <c r="DD19" t="s">
        <v>1375</v>
      </c>
      <c r="DE19" t="s">
        <v>1374</v>
      </c>
      <c r="DF19">
        <f t="shared" si="0"/>
        <v>104.25999999999998</v>
      </c>
      <c r="DG19">
        <v>17</v>
      </c>
      <c r="DH19">
        <f t="shared" si="1"/>
        <v>102.00999999999999</v>
      </c>
    </row>
    <row r="20" spans="1:112" x14ac:dyDescent="0.35">
      <c r="A20">
        <v>62181</v>
      </c>
      <c r="B20">
        <v>62181</v>
      </c>
      <c r="C20" t="s">
        <v>1413</v>
      </c>
      <c r="D20" t="s">
        <v>121</v>
      </c>
      <c r="E20" t="s">
        <v>180</v>
      </c>
      <c r="F20" t="s">
        <v>104</v>
      </c>
      <c r="G20" t="s">
        <v>103</v>
      </c>
      <c r="I20" t="s">
        <v>7</v>
      </c>
      <c r="J20">
        <v>356554901</v>
      </c>
      <c r="K20" t="s">
        <v>302</v>
      </c>
      <c r="L20" t="s">
        <v>176</v>
      </c>
      <c r="M20" t="s">
        <v>39</v>
      </c>
      <c r="N20" t="s">
        <v>1025</v>
      </c>
      <c r="P20" t="s">
        <v>1159</v>
      </c>
      <c r="Q20" t="s">
        <v>37</v>
      </c>
      <c r="T20" t="s">
        <v>6</v>
      </c>
      <c r="U20" t="s">
        <v>1412</v>
      </c>
      <c r="V20" t="s">
        <v>36</v>
      </c>
      <c r="W20" t="s">
        <v>1372</v>
      </c>
      <c r="X20">
        <v>7500000</v>
      </c>
      <c r="Y20" t="s">
        <v>149</v>
      </c>
      <c r="AE20" t="s">
        <v>1411</v>
      </c>
      <c r="AF20" s="1">
        <v>46387</v>
      </c>
      <c r="AG20" t="s">
        <v>69</v>
      </c>
      <c r="AI20" t="s">
        <v>1410</v>
      </c>
      <c r="AJ20" t="s">
        <v>1409</v>
      </c>
      <c r="AK20" t="s">
        <v>1408</v>
      </c>
      <c r="AL20">
        <v>4606699</v>
      </c>
      <c r="AM20" t="s">
        <v>782</v>
      </c>
      <c r="AN20" t="s">
        <v>113</v>
      </c>
      <c r="AO20" t="s">
        <v>1106</v>
      </c>
      <c r="AP20" t="s">
        <v>302</v>
      </c>
      <c r="AQ20" t="s">
        <v>1407</v>
      </c>
      <c r="AR20" s="1">
        <v>44468</v>
      </c>
      <c r="AX20">
        <v>11</v>
      </c>
      <c r="AY20">
        <v>656409</v>
      </c>
      <c r="AZ20">
        <v>5544756</v>
      </c>
      <c r="BA20">
        <v>1009</v>
      </c>
      <c r="BB20" t="s">
        <v>300</v>
      </c>
      <c r="BC20" t="s">
        <v>304</v>
      </c>
      <c r="BD20" t="s">
        <v>94</v>
      </c>
      <c r="BF20" t="s">
        <v>1406</v>
      </c>
      <c r="BG20">
        <v>2</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4.3076490869858404</v>
      </c>
      <c r="CL20">
        <v>4.5311176666497603</v>
      </c>
      <c r="CM20">
        <v>4.3099999999999996</v>
      </c>
      <c r="CN20">
        <v>4.53</v>
      </c>
      <c r="CO20">
        <v>4.3099999999999996</v>
      </c>
      <c r="CP20">
        <v>4.3099999999999996</v>
      </c>
      <c r="CQ20">
        <v>4.53</v>
      </c>
      <c r="CR20">
        <v>4.53</v>
      </c>
      <c r="CS20">
        <v>4.53</v>
      </c>
      <c r="CT20">
        <v>4.53</v>
      </c>
      <c r="CU20">
        <v>446902</v>
      </c>
      <c r="CV20">
        <v>4.5599999999999996</v>
      </c>
      <c r="CW20">
        <v>2</v>
      </c>
      <c r="CX20">
        <v>2.2799999999999998</v>
      </c>
      <c r="CZ20">
        <v>15</v>
      </c>
      <c r="DA20">
        <v>14</v>
      </c>
      <c r="DB20">
        <v>14</v>
      </c>
      <c r="DC20">
        <v>13</v>
      </c>
      <c r="DD20" t="s">
        <v>1375</v>
      </c>
      <c r="DE20" t="s">
        <v>1374</v>
      </c>
      <c r="DF20">
        <f t="shared" si="0"/>
        <v>106.53999999999998</v>
      </c>
      <c r="DG20">
        <v>18</v>
      </c>
      <c r="DH20">
        <f t="shared" si="1"/>
        <v>106.53999999999999</v>
      </c>
    </row>
    <row r="21" spans="1:112" x14ac:dyDescent="0.35">
      <c r="A21">
        <v>199904</v>
      </c>
      <c r="B21">
        <v>199904</v>
      </c>
      <c r="C21" t="s">
        <v>1405</v>
      </c>
      <c r="D21" t="s">
        <v>121</v>
      </c>
      <c r="E21" t="s">
        <v>99</v>
      </c>
      <c r="F21" t="s">
        <v>104</v>
      </c>
      <c r="G21" t="s">
        <v>119</v>
      </c>
      <c r="J21">
        <v>356566187</v>
      </c>
      <c r="K21" t="s">
        <v>239</v>
      </c>
      <c r="L21" t="s">
        <v>1404</v>
      </c>
      <c r="M21" t="s">
        <v>39</v>
      </c>
      <c r="P21" t="s">
        <v>38</v>
      </c>
      <c r="Q21" t="s">
        <v>4</v>
      </c>
      <c r="V21" t="s">
        <v>51</v>
      </c>
      <c r="AE21" t="s">
        <v>35</v>
      </c>
      <c r="AI21" t="s">
        <v>1403</v>
      </c>
      <c r="AK21" t="s">
        <v>1402</v>
      </c>
      <c r="AL21">
        <v>4601996</v>
      </c>
      <c r="AM21" t="s">
        <v>114</v>
      </c>
      <c r="AN21" t="s">
        <v>113</v>
      </c>
      <c r="AP21" t="s">
        <v>239</v>
      </c>
      <c r="AQ21" t="s">
        <v>1401</v>
      </c>
      <c r="AR21" s="1">
        <v>45516</v>
      </c>
      <c r="AX21">
        <v>11</v>
      </c>
      <c r="AY21">
        <v>641014</v>
      </c>
      <c r="AZ21">
        <v>5479284</v>
      </c>
      <c r="BA21">
        <v>680</v>
      </c>
      <c r="BB21" t="s">
        <v>240</v>
      </c>
      <c r="BC21" t="s">
        <v>240</v>
      </c>
      <c r="BD21" t="s">
        <v>94</v>
      </c>
      <c r="BE21" t="s">
        <v>239</v>
      </c>
      <c r="BF21" t="s">
        <v>449</v>
      </c>
      <c r="BG21">
        <v>1</v>
      </c>
      <c r="BH21" t="s">
        <v>1400</v>
      </c>
      <c r="BI21">
        <v>3</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1.74337945502129</v>
      </c>
      <c r="CL21">
        <v>3.6250019360313201</v>
      </c>
      <c r="CM21">
        <v>1.52</v>
      </c>
      <c r="CN21">
        <v>1.52</v>
      </c>
      <c r="CO21">
        <v>1.74</v>
      </c>
      <c r="CP21">
        <v>1.52</v>
      </c>
      <c r="CQ21">
        <v>3.63</v>
      </c>
      <c r="CR21">
        <v>1.53</v>
      </c>
      <c r="CS21">
        <v>3.63</v>
      </c>
      <c r="CT21">
        <v>1.53</v>
      </c>
      <c r="CU21">
        <v>420742</v>
      </c>
      <c r="CV21">
        <v>1.53</v>
      </c>
      <c r="CW21">
        <v>1</v>
      </c>
      <c r="CX21">
        <v>1.53</v>
      </c>
      <c r="CZ21">
        <v>20</v>
      </c>
      <c r="DA21">
        <v>19</v>
      </c>
      <c r="DB21">
        <v>15</v>
      </c>
      <c r="DC21">
        <v>14</v>
      </c>
      <c r="DD21" t="s">
        <v>1375</v>
      </c>
      <c r="DE21" t="s">
        <v>1374</v>
      </c>
      <c r="DF21">
        <f t="shared" si="0"/>
        <v>108.06999999999998</v>
      </c>
      <c r="DG21">
        <v>19</v>
      </c>
      <c r="DH21">
        <f t="shared" si="1"/>
        <v>108.07</v>
      </c>
    </row>
    <row r="22" spans="1:112" x14ac:dyDescent="0.35">
      <c r="A22">
        <v>1004604005</v>
      </c>
      <c r="B22">
        <v>1004604005</v>
      </c>
      <c r="C22" t="s">
        <v>1399</v>
      </c>
      <c r="D22" t="s">
        <v>100</v>
      </c>
      <c r="E22" t="s">
        <v>99</v>
      </c>
      <c r="F22" t="s">
        <v>104</v>
      </c>
      <c r="G22" t="s">
        <v>103</v>
      </c>
      <c r="J22">
        <v>356442888</v>
      </c>
      <c r="AL22">
        <v>4604005</v>
      </c>
      <c r="AX22">
        <v>11</v>
      </c>
      <c r="AY22">
        <v>646604</v>
      </c>
      <c r="AZ22">
        <v>5586608</v>
      </c>
      <c r="BA22">
        <v>315.58923810418702</v>
      </c>
      <c r="BB22" t="s">
        <v>1273</v>
      </c>
      <c r="BC22" t="s">
        <v>1273</v>
      </c>
      <c r="BD22" t="s">
        <v>94</v>
      </c>
      <c r="BF22" t="s">
        <v>449</v>
      </c>
      <c r="BG22">
        <v>1</v>
      </c>
      <c r="BH22" t="s">
        <v>1398</v>
      </c>
      <c r="BI22">
        <v>2</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2.9146643873992901</v>
      </c>
      <c r="CM22">
        <v>0</v>
      </c>
      <c r="CN22">
        <v>1.75</v>
      </c>
      <c r="CO22">
        <v>0</v>
      </c>
      <c r="CP22">
        <v>0</v>
      </c>
      <c r="CQ22">
        <v>2.91</v>
      </c>
      <c r="CR22">
        <v>1.74</v>
      </c>
      <c r="CS22">
        <v>2.91</v>
      </c>
      <c r="CT22">
        <v>1.74</v>
      </c>
      <c r="CU22">
        <v>189662</v>
      </c>
      <c r="CV22">
        <v>1.74</v>
      </c>
      <c r="CW22">
        <v>1</v>
      </c>
      <c r="CX22">
        <v>1.74</v>
      </c>
      <c r="CZ22">
        <v>17</v>
      </c>
      <c r="DA22">
        <v>16</v>
      </c>
      <c r="DB22">
        <v>19</v>
      </c>
      <c r="DC22">
        <v>15</v>
      </c>
      <c r="DD22" t="s">
        <v>1375</v>
      </c>
      <c r="DE22" t="s">
        <v>1374</v>
      </c>
      <c r="DF22">
        <f t="shared" si="0"/>
        <v>109.80999999999997</v>
      </c>
      <c r="DG22">
        <v>20</v>
      </c>
      <c r="DH22">
        <f t="shared" si="1"/>
        <v>109.80999999999999</v>
      </c>
    </row>
    <row r="23" spans="1:112" x14ac:dyDescent="0.35">
      <c r="A23">
        <v>1004601519</v>
      </c>
      <c r="C23" t="s">
        <v>1397</v>
      </c>
      <c r="D23" t="s">
        <v>100</v>
      </c>
      <c r="E23" t="s">
        <v>99</v>
      </c>
      <c r="F23" t="s">
        <v>104</v>
      </c>
      <c r="G23" t="s">
        <v>103</v>
      </c>
      <c r="J23">
        <v>356529391</v>
      </c>
      <c r="AL23">
        <v>4601519</v>
      </c>
      <c r="AX23">
        <v>11</v>
      </c>
      <c r="AY23">
        <v>660720</v>
      </c>
      <c r="AZ23">
        <v>5482259</v>
      </c>
      <c r="BA23">
        <v>317.857530346369</v>
      </c>
      <c r="BB23" t="s">
        <v>1396</v>
      </c>
      <c r="BC23" t="s">
        <v>1396</v>
      </c>
      <c r="BD23" t="s">
        <v>94</v>
      </c>
      <c r="BF23" t="s">
        <v>449</v>
      </c>
      <c r="BG23">
        <v>1</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2.2394808188935298</v>
      </c>
      <c r="CL23">
        <v>2.4504501174028701</v>
      </c>
      <c r="CM23">
        <v>2.2400000000000002</v>
      </c>
      <c r="CN23">
        <v>2.4500000000000002</v>
      </c>
      <c r="CO23">
        <v>2.2400000000000002</v>
      </c>
      <c r="CP23">
        <v>2.2400000000000002</v>
      </c>
      <c r="CQ23">
        <v>2.4500000000000002</v>
      </c>
      <c r="CR23">
        <v>2.4500000000000002</v>
      </c>
      <c r="CS23">
        <v>2.4500000000000002</v>
      </c>
      <c r="CT23">
        <v>2.4500000000000002</v>
      </c>
      <c r="CU23">
        <v>130802</v>
      </c>
      <c r="CV23">
        <v>2.4500000000000002</v>
      </c>
      <c r="CW23">
        <v>1</v>
      </c>
      <c r="CX23">
        <v>2.4500000000000002</v>
      </c>
      <c r="CZ23">
        <v>14</v>
      </c>
      <c r="DA23">
        <v>13</v>
      </c>
      <c r="DB23">
        <v>24</v>
      </c>
      <c r="DC23">
        <v>16</v>
      </c>
      <c r="DD23" t="s">
        <v>1375</v>
      </c>
      <c r="DE23" t="s">
        <v>1374</v>
      </c>
      <c r="DF23">
        <f t="shared" si="0"/>
        <v>112.25999999999998</v>
      </c>
      <c r="DG23">
        <v>21</v>
      </c>
      <c r="DH23">
        <f t="shared" si="1"/>
        <v>112.25999999999999</v>
      </c>
    </row>
    <row r="24" spans="1:112" x14ac:dyDescent="0.35">
      <c r="A24">
        <v>197553</v>
      </c>
      <c r="B24">
        <v>197553</v>
      </c>
      <c r="C24" t="s">
        <v>1395</v>
      </c>
      <c r="D24" t="s">
        <v>121</v>
      </c>
      <c r="E24" t="s">
        <v>99</v>
      </c>
      <c r="F24" t="s">
        <v>104</v>
      </c>
      <c r="G24" t="s">
        <v>103</v>
      </c>
      <c r="H24" t="s">
        <v>409</v>
      </c>
      <c r="J24">
        <v>356548652</v>
      </c>
      <c r="K24" t="s">
        <v>1389</v>
      </c>
      <c r="L24" t="s">
        <v>412</v>
      </c>
      <c r="M24" t="s">
        <v>39</v>
      </c>
      <c r="P24" t="s">
        <v>38</v>
      </c>
      <c r="Q24" t="s">
        <v>4</v>
      </c>
      <c r="V24" t="s">
        <v>149</v>
      </c>
      <c r="AE24" t="s">
        <v>969</v>
      </c>
      <c r="AI24" t="s">
        <v>1394</v>
      </c>
      <c r="AJ24" t="s">
        <v>1393</v>
      </c>
      <c r="AK24" t="s">
        <v>1392</v>
      </c>
      <c r="AL24">
        <v>4605712</v>
      </c>
      <c r="AM24" t="s">
        <v>114</v>
      </c>
      <c r="AN24" t="s">
        <v>113</v>
      </c>
      <c r="AO24" t="s">
        <v>409</v>
      </c>
      <c r="AP24" t="s">
        <v>1389</v>
      </c>
      <c r="AQ24" t="s">
        <v>1391</v>
      </c>
      <c r="AR24" s="1">
        <v>44090</v>
      </c>
      <c r="AX24">
        <v>11</v>
      </c>
      <c r="AY24">
        <v>643578</v>
      </c>
      <c r="AZ24">
        <v>5560088</v>
      </c>
      <c r="BA24">
        <v>1427</v>
      </c>
      <c r="BB24" t="s">
        <v>1390</v>
      </c>
      <c r="BC24" t="s">
        <v>729</v>
      </c>
      <c r="BD24" t="s">
        <v>94</v>
      </c>
      <c r="BE24" t="s">
        <v>1389</v>
      </c>
      <c r="BF24" t="s">
        <v>449</v>
      </c>
      <c r="BG24">
        <v>1</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1.7883735633248299E-3</v>
      </c>
      <c r="CL24">
        <v>2.0071957989641702</v>
      </c>
      <c r="CM24">
        <v>0</v>
      </c>
      <c r="CN24">
        <v>2.0099999999999998</v>
      </c>
      <c r="CO24">
        <v>0</v>
      </c>
      <c r="CP24">
        <v>0</v>
      </c>
      <c r="CQ24">
        <v>2.0099999999999998</v>
      </c>
      <c r="CR24">
        <v>2.0099999999999998</v>
      </c>
      <c r="CS24">
        <v>2.0099999999999998</v>
      </c>
      <c r="CT24">
        <v>2.0099999999999998</v>
      </c>
      <c r="CU24">
        <v>379322</v>
      </c>
      <c r="CV24">
        <v>2.0099999999999998</v>
      </c>
      <c r="CW24">
        <v>1</v>
      </c>
      <c r="CX24">
        <v>2.0099999999999998</v>
      </c>
      <c r="CZ24">
        <v>16</v>
      </c>
      <c r="DA24">
        <v>15</v>
      </c>
      <c r="DB24">
        <v>28</v>
      </c>
      <c r="DC24">
        <v>17</v>
      </c>
      <c r="DD24" t="s">
        <v>1375</v>
      </c>
      <c r="DE24" t="s">
        <v>1374</v>
      </c>
      <c r="DF24">
        <f t="shared" si="0"/>
        <v>114.26999999999998</v>
      </c>
      <c r="DG24">
        <v>22</v>
      </c>
      <c r="DH24">
        <f t="shared" si="1"/>
        <v>114.27</v>
      </c>
    </row>
    <row r="25" spans="1:112" x14ac:dyDescent="0.35">
      <c r="A25">
        <v>197825</v>
      </c>
      <c r="B25">
        <v>197825</v>
      </c>
      <c r="C25" t="s">
        <v>1388</v>
      </c>
      <c r="D25" t="s">
        <v>121</v>
      </c>
      <c r="E25" t="s">
        <v>99</v>
      </c>
      <c r="F25" t="s">
        <v>104</v>
      </c>
      <c r="G25" t="s">
        <v>119</v>
      </c>
      <c r="J25">
        <v>356563941</v>
      </c>
      <c r="K25" t="s">
        <v>253</v>
      </c>
      <c r="L25" t="s">
        <v>26</v>
      </c>
      <c r="M25" t="s">
        <v>39</v>
      </c>
      <c r="N25" t="s">
        <v>69</v>
      </c>
      <c r="P25" t="s">
        <v>1159</v>
      </c>
      <c r="Q25" t="s">
        <v>1387</v>
      </c>
      <c r="T25" t="s">
        <v>6</v>
      </c>
      <c r="V25" t="s">
        <v>149</v>
      </c>
      <c r="W25" t="s">
        <v>1372</v>
      </c>
      <c r="Y25" t="s">
        <v>149</v>
      </c>
      <c r="AE25" t="s">
        <v>1266</v>
      </c>
      <c r="AG25" t="s">
        <v>69</v>
      </c>
      <c r="AI25" t="s">
        <v>1386</v>
      </c>
      <c r="AJ25" t="s">
        <v>1385</v>
      </c>
      <c r="AK25" t="s">
        <v>1384</v>
      </c>
      <c r="AL25">
        <v>4604677</v>
      </c>
      <c r="AM25" t="s">
        <v>114</v>
      </c>
      <c r="AN25" t="s">
        <v>113</v>
      </c>
      <c r="AP25" t="s">
        <v>253</v>
      </c>
      <c r="AQ25" t="s">
        <v>1383</v>
      </c>
      <c r="AR25" s="1">
        <v>44502</v>
      </c>
      <c r="AX25">
        <v>11</v>
      </c>
      <c r="AY25">
        <v>652123</v>
      </c>
      <c r="AZ25">
        <v>5566424</v>
      </c>
      <c r="BA25">
        <v>468</v>
      </c>
      <c r="BB25" t="s">
        <v>254</v>
      </c>
      <c r="BC25" t="s">
        <v>254</v>
      </c>
      <c r="BD25" t="s">
        <v>94</v>
      </c>
      <c r="BE25" t="s">
        <v>253</v>
      </c>
      <c r="BF25" t="s">
        <v>320</v>
      </c>
      <c r="BG25">
        <v>2</v>
      </c>
      <c r="BH25" t="s">
        <v>251</v>
      </c>
      <c r="BI25">
        <v>2</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9.5912879030069806</v>
      </c>
      <c r="CL25">
        <v>10.0267704682082</v>
      </c>
      <c r="CM25">
        <v>9.59</v>
      </c>
      <c r="CN25">
        <v>10</v>
      </c>
      <c r="CO25">
        <v>9.59</v>
      </c>
      <c r="CP25">
        <v>9.59</v>
      </c>
      <c r="CQ25">
        <v>10.029999999999999</v>
      </c>
      <c r="CR25">
        <v>10</v>
      </c>
      <c r="CS25">
        <v>10.029999999999999</v>
      </c>
      <c r="CT25">
        <v>10</v>
      </c>
      <c r="CU25">
        <v>407662</v>
      </c>
      <c r="CV25">
        <v>10</v>
      </c>
      <c r="CW25">
        <v>1</v>
      </c>
      <c r="CX25">
        <v>10</v>
      </c>
      <c r="CY25" t="s">
        <v>901</v>
      </c>
      <c r="CZ25">
        <v>4</v>
      </c>
      <c r="DA25">
        <v>41</v>
      </c>
      <c r="DB25">
        <v>4</v>
      </c>
      <c r="DC25">
        <v>18</v>
      </c>
      <c r="DD25" t="s">
        <v>1375</v>
      </c>
      <c r="DE25" t="s">
        <v>1374</v>
      </c>
      <c r="DF25">
        <f t="shared" si="0"/>
        <v>124.26999999999998</v>
      </c>
      <c r="DG25">
        <v>23</v>
      </c>
      <c r="DH25">
        <f t="shared" si="1"/>
        <v>124.27</v>
      </c>
    </row>
    <row r="26" spans="1:112" x14ac:dyDescent="0.35">
      <c r="A26">
        <v>1004602074</v>
      </c>
      <c r="C26" t="s">
        <v>1382</v>
      </c>
      <c r="D26" t="s">
        <v>100</v>
      </c>
      <c r="E26" t="s">
        <v>99</v>
      </c>
      <c r="F26" t="s">
        <v>104</v>
      </c>
      <c r="G26" t="s">
        <v>103</v>
      </c>
      <c r="J26">
        <v>356565258</v>
      </c>
      <c r="AL26">
        <v>4602074</v>
      </c>
      <c r="AX26">
        <v>11</v>
      </c>
      <c r="AY26">
        <v>641277</v>
      </c>
      <c r="AZ26">
        <v>5521280</v>
      </c>
      <c r="BA26">
        <v>18479.241705473702</v>
      </c>
      <c r="BB26" t="s">
        <v>485</v>
      </c>
      <c r="BC26" t="s">
        <v>1381</v>
      </c>
      <c r="BD26" t="s">
        <v>94</v>
      </c>
      <c r="BE26" t="s">
        <v>484</v>
      </c>
      <c r="BF26" t="s">
        <v>449</v>
      </c>
      <c r="BG26">
        <v>1</v>
      </c>
      <c r="BH26">
        <v>1004601225</v>
      </c>
      <c r="BI26">
        <v>1</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1.02678570395155</v>
      </c>
      <c r="CL26">
        <v>2.1419996773482399</v>
      </c>
      <c r="CM26">
        <v>0.64</v>
      </c>
      <c r="CN26">
        <v>1.28</v>
      </c>
      <c r="CO26">
        <v>1.03</v>
      </c>
      <c r="CP26">
        <v>0.65</v>
      </c>
      <c r="CQ26">
        <v>2.14</v>
      </c>
      <c r="CR26">
        <v>1.28</v>
      </c>
      <c r="CS26">
        <v>2.14</v>
      </c>
      <c r="CT26">
        <v>1.28</v>
      </c>
      <c r="CU26">
        <v>150422</v>
      </c>
      <c r="CV26">
        <v>1.28</v>
      </c>
      <c r="CW26">
        <v>1</v>
      </c>
      <c r="CX26">
        <v>1.28</v>
      </c>
      <c r="CZ26">
        <v>22</v>
      </c>
      <c r="DA26">
        <v>21</v>
      </c>
      <c r="DB26">
        <v>26</v>
      </c>
      <c r="DC26">
        <v>19</v>
      </c>
      <c r="DD26" t="s">
        <v>1375</v>
      </c>
      <c r="DE26" t="s">
        <v>1374</v>
      </c>
      <c r="DF26">
        <f t="shared" si="0"/>
        <v>125.54999999999998</v>
      </c>
      <c r="DG26">
        <v>24</v>
      </c>
      <c r="DH26">
        <f t="shared" si="1"/>
        <v>125.55</v>
      </c>
    </row>
    <row r="27" spans="1:112" x14ac:dyDescent="0.35">
      <c r="A27">
        <v>197526</v>
      </c>
      <c r="B27">
        <v>197526</v>
      </c>
      <c r="C27" t="s">
        <v>1380</v>
      </c>
      <c r="D27" t="s">
        <v>121</v>
      </c>
      <c r="E27" t="s">
        <v>99</v>
      </c>
      <c r="F27" t="s">
        <v>104</v>
      </c>
      <c r="G27" t="s">
        <v>119</v>
      </c>
      <c r="H27" t="s">
        <v>409</v>
      </c>
      <c r="J27">
        <v>356533071</v>
      </c>
      <c r="K27" t="s">
        <v>19</v>
      </c>
      <c r="L27" t="s">
        <v>412</v>
      </c>
      <c r="M27" t="s">
        <v>39</v>
      </c>
      <c r="P27" t="s">
        <v>38</v>
      </c>
      <c r="Q27" t="s">
        <v>4</v>
      </c>
      <c r="V27" t="s">
        <v>51</v>
      </c>
      <c r="AE27" t="s">
        <v>35</v>
      </c>
      <c r="AI27" t="s">
        <v>1379</v>
      </c>
      <c r="AK27" t="s">
        <v>1378</v>
      </c>
      <c r="AL27">
        <v>4605733</v>
      </c>
      <c r="AM27" t="s">
        <v>114</v>
      </c>
      <c r="AN27" t="s">
        <v>113</v>
      </c>
      <c r="AO27" t="s">
        <v>409</v>
      </c>
      <c r="AP27" t="s">
        <v>19</v>
      </c>
      <c r="AQ27" t="s">
        <v>1377</v>
      </c>
      <c r="AR27" s="1">
        <v>44090</v>
      </c>
      <c r="AX27">
        <v>11</v>
      </c>
      <c r="AY27">
        <v>647192</v>
      </c>
      <c r="AZ27">
        <v>5552696</v>
      </c>
      <c r="BA27">
        <v>591</v>
      </c>
      <c r="BB27" t="s">
        <v>1376</v>
      </c>
      <c r="BC27" t="s">
        <v>1376</v>
      </c>
      <c r="BD27" t="s">
        <v>94</v>
      </c>
      <c r="BF27" t="s">
        <v>449</v>
      </c>
      <c r="BG27">
        <v>1</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1.6995127329072599</v>
      </c>
      <c r="CM27">
        <v>0</v>
      </c>
      <c r="CN27">
        <v>1.7</v>
      </c>
      <c r="CO27">
        <v>0</v>
      </c>
      <c r="CP27">
        <v>0</v>
      </c>
      <c r="CQ27">
        <v>1.7</v>
      </c>
      <c r="CR27">
        <v>1.7</v>
      </c>
      <c r="CS27">
        <v>1.7</v>
      </c>
      <c r="CT27">
        <v>1.7</v>
      </c>
      <c r="CU27">
        <v>370602</v>
      </c>
      <c r="CV27">
        <v>1.7</v>
      </c>
      <c r="CW27">
        <v>1</v>
      </c>
      <c r="CX27">
        <v>1.7</v>
      </c>
      <c r="CZ27">
        <v>18</v>
      </c>
      <c r="DA27">
        <v>17</v>
      </c>
      <c r="DB27">
        <v>34</v>
      </c>
      <c r="DC27">
        <v>20</v>
      </c>
      <c r="DD27" t="s">
        <v>1375</v>
      </c>
      <c r="DE27" t="s">
        <v>1374</v>
      </c>
      <c r="DF27">
        <f t="shared" si="0"/>
        <v>127.24999999999999</v>
      </c>
      <c r="DG27">
        <v>25</v>
      </c>
      <c r="DH27">
        <f t="shared" si="1"/>
        <v>127.25</v>
      </c>
    </row>
    <row r="28" spans="1:112" x14ac:dyDescent="0.35">
      <c r="A28">
        <v>197555</v>
      </c>
      <c r="B28">
        <v>197555</v>
      </c>
      <c r="C28" t="s">
        <v>1373</v>
      </c>
      <c r="D28" t="s">
        <v>121</v>
      </c>
      <c r="E28" t="s">
        <v>99</v>
      </c>
      <c r="F28" t="s">
        <v>104</v>
      </c>
      <c r="G28" t="s">
        <v>119</v>
      </c>
      <c r="H28" t="s">
        <v>409</v>
      </c>
      <c r="J28">
        <v>356568300</v>
      </c>
      <c r="K28" t="s">
        <v>19</v>
      </c>
      <c r="L28" t="s">
        <v>412</v>
      </c>
      <c r="M28" t="s">
        <v>39</v>
      </c>
      <c r="P28" t="s">
        <v>38</v>
      </c>
      <c r="Q28" t="s">
        <v>37</v>
      </c>
      <c r="T28" t="s">
        <v>1157</v>
      </c>
      <c r="V28" t="s">
        <v>149</v>
      </c>
      <c r="W28" t="s">
        <v>1372</v>
      </c>
      <c r="AE28" t="s">
        <v>35</v>
      </c>
      <c r="AI28" t="s">
        <v>1371</v>
      </c>
      <c r="AJ28" t="s">
        <v>1370</v>
      </c>
      <c r="AK28" t="s">
        <v>1369</v>
      </c>
      <c r="AL28">
        <v>4605732</v>
      </c>
      <c r="AM28" t="s">
        <v>782</v>
      </c>
      <c r="AN28" t="s">
        <v>113</v>
      </c>
      <c r="AO28" t="s">
        <v>409</v>
      </c>
      <c r="AP28" t="s">
        <v>19</v>
      </c>
      <c r="AQ28" t="s">
        <v>1368</v>
      </c>
      <c r="AR28" s="1">
        <v>44090</v>
      </c>
      <c r="AX28">
        <v>11</v>
      </c>
      <c r="AY28">
        <v>646736</v>
      </c>
      <c r="AZ28">
        <v>5554528</v>
      </c>
      <c r="BA28">
        <v>894</v>
      </c>
      <c r="BB28" t="s">
        <v>1367</v>
      </c>
      <c r="BC28" t="s">
        <v>1367</v>
      </c>
      <c r="BD28" t="s">
        <v>94</v>
      </c>
      <c r="BF28" t="s">
        <v>449</v>
      </c>
      <c r="BG28">
        <v>1</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1.5817830972906499</v>
      </c>
      <c r="CM28">
        <v>0</v>
      </c>
      <c r="CN28">
        <v>1.58</v>
      </c>
      <c r="CO28">
        <v>0</v>
      </c>
      <c r="CP28">
        <v>0</v>
      </c>
      <c r="CQ28">
        <v>1.58</v>
      </c>
      <c r="CR28">
        <v>1.58</v>
      </c>
      <c r="CS28">
        <v>1.58</v>
      </c>
      <c r="CT28">
        <v>1.58</v>
      </c>
      <c r="CU28">
        <v>381502</v>
      </c>
      <c r="CV28">
        <v>1.58</v>
      </c>
      <c r="CW28">
        <v>1</v>
      </c>
      <c r="CX28">
        <v>1.58</v>
      </c>
      <c r="CZ28">
        <v>19</v>
      </c>
      <c r="DA28">
        <v>18</v>
      </c>
      <c r="DB28">
        <v>37</v>
      </c>
      <c r="DC28">
        <v>21</v>
      </c>
      <c r="DD28" t="s">
        <v>1340</v>
      </c>
      <c r="DE28" t="s">
        <v>0</v>
      </c>
      <c r="DF28">
        <f t="shared" si="0"/>
        <v>128.82999999999998</v>
      </c>
      <c r="DG28">
        <v>26</v>
      </c>
      <c r="DH28">
        <f t="shared" si="1"/>
        <v>128.83000000000001</v>
      </c>
    </row>
    <row r="29" spans="1:112" x14ac:dyDescent="0.35">
      <c r="A29">
        <v>197579</v>
      </c>
      <c r="B29">
        <v>197579</v>
      </c>
      <c r="C29" t="s">
        <v>1366</v>
      </c>
      <c r="D29" t="s">
        <v>121</v>
      </c>
      <c r="E29" t="s">
        <v>120</v>
      </c>
      <c r="F29" t="s">
        <v>104</v>
      </c>
      <c r="G29" t="s">
        <v>119</v>
      </c>
      <c r="H29" t="s">
        <v>525</v>
      </c>
      <c r="J29">
        <v>356541034</v>
      </c>
      <c r="K29" t="s">
        <v>1365</v>
      </c>
      <c r="L29" t="s">
        <v>676</v>
      </c>
      <c r="M29" t="s">
        <v>39</v>
      </c>
      <c r="N29" t="s">
        <v>970</v>
      </c>
      <c r="P29" t="s">
        <v>38</v>
      </c>
      <c r="Q29" t="s">
        <v>37</v>
      </c>
      <c r="T29" t="s">
        <v>6</v>
      </c>
      <c r="V29" t="s">
        <v>149</v>
      </c>
      <c r="AE29" t="s">
        <v>35</v>
      </c>
      <c r="AI29" t="s">
        <v>1364</v>
      </c>
      <c r="AJ29" t="s">
        <v>1363</v>
      </c>
      <c r="AK29" t="s">
        <v>1362</v>
      </c>
      <c r="AL29">
        <v>4600332</v>
      </c>
      <c r="AM29" t="s">
        <v>114</v>
      </c>
      <c r="AN29" t="s">
        <v>113</v>
      </c>
      <c r="AO29" t="s">
        <v>676</v>
      </c>
      <c r="AP29" t="s">
        <v>606</v>
      </c>
      <c r="AQ29" t="s">
        <v>1361</v>
      </c>
      <c r="AR29" s="1">
        <v>45516</v>
      </c>
      <c r="AX29">
        <v>11</v>
      </c>
      <c r="AY29">
        <v>639514</v>
      </c>
      <c r="AZ29">
        <v>5481119</v>
      </c>
      <c r="BA29">
        <v>145</v>
      </c>
      <c r="BB29" t="s">
        <v>152</v>
      </c>
      <c r="BC29" t="s">
        <v>152</v>
      </c>
      <c r="BD29" t="s">
        <v>94</v>
      </c>
      <c r="BF29" t="s">
        <v>449</v>
      </c>
      <c r="BG29">
        <v>1</v>
      </c>
      <c r="BH29">
        <v>197578</v>
      </c>
      <c r="BI29">
        <v>1</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1.84844952376647</v>
      </c>
      <c r="CM29">
        <v>0</v>
      </c>
      <c r="CN29">
        <v>1.19</v>
      </c>
      <c r="CO29">
        <v>0</v>
      </c>
      <c r="CP29">
        <v>0</v>
      </c>
      <c r="CQ29">
        <v>1.85</v>
      </c>
      <c r="CR29">
        <v>1.19</v>
      </c>
      <c r="CS29">
        <v>1.85</v>
      </c>
      <c r="CT29">
        <v>1.19</v>
      </c>
      <c r="CU29">
        <v>398942</v>
      </c>
      <c r="CV29">
        <v>1.19</v>
      </c>
      <c r="CW29">
        <v>1</v>
      </c>
      <c r="CX29">
        <v>1.19</v>
      </c>
      <c r="CZ29">
        <v>27</v>
      </c>
      <c r="DA29">
        <v>26</v>
      </c>
      <c r="DB29">
        <v>31</v>
      </c>
      <c r="DC29">
        <v>22</v>
      </c>
      <c r="DD29" t="s">
        <v>1340</v>
      </c>
      <c r="DE29" t="s">
        <v>0</v>
      </c>
      <c r="DF29">
        <f t="shared" si="0"/>
        <v>130.01999999999998</v>
      </c>
      <c r="DG29">
        <v>27</v>
      </c>
      <c r="DH29">
        <f t="shared" si="1"/>
        <v>130.02000000000001</v>
      </c>
    </row>
    <row r="30" spans="1:112" x14ac:dyDescent="0.35">
      <c r="A30">
        <v>1004604004</v>
      </c>
      <c r="C30" t="s">
        <v>1360</v>
      </c>
      <c r="D30" t="s">
        <v>100</v>
      </c>
      <c r="E30" t="s">
        <v>99</v>
      </c>
      <c r="F30" t="s">
        <v>104</v>
      </c>
      <c r="G30" t="s">
        <v>103</v>
      </c>
      <c r="J30">
        <v>356547398</v>
      </c>
      <c r="AL30">
        <v>4604004</v>
      </c>
      <c r="AX30">
        <v>11</v>
      </c>
      <c r="AY30">
        <v>646754</v>
      </c>
      <c r="AZ30">
        <v>5586279</v>
      </c>
      <c r="BA30">
        <v>95.983460148348101</v>
      </c>
      <c r="BB30" t="s">
        <v>1359</v>
      </c>
      <c r="BC30" t="s">
        <v>1359</v>
      </c>
      <c r="BD30" t="s">
        <v>94</v>
      </c>
      <c r="BF30" t="s">
        <v>449</v>
      </c>
      <c r="BG30">
        <v>1</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1.43999999999993</v>
      </c>
      <c r="CM30">
        <v>0</v>
      </c>
      <c r="CN30">
        <v>1.44</v>
      </c>
      <c r="CO30">
        <v>0</v>
      </c>
      <c r="CP30">
        <v>0</v>
      </c>
      <c r="CQ30">
        <v>1.44</v>
      </c>
      <c r="CR30">
        <v>1.44</v>
      </c>
      <c r="CS30">
        <v>1.44</v>
      </c>
      <c r="CT30">
        <v>1.44</v>
      </c>
      <c r="CU30">
        <v>180942</v>
      </c>
      <c r="CV30">
        <v>1.44</v>
      </c>
      <c r="CW30">
        <v>1</v>
      </c>
      <c r="CX30">
        <v>1.44</v>
      </c>
      <c r="CZ30">
        <v>21</v>
      </c>
      <c r="DA30">
        <v>20</v>
      </c>
      <c r="DB30">
        <v>39</v>
      </c>
      <c r="DC30">
        <v>23</v>
      </c>
      <c r="DD30" t="s">
        <v>1340</v>
      </c>
      <c r="DE30" t="s">
        <v>0</v>
      </c>
      <c r="DF30">
        <f t="shared" si="0"/>
        <v>131.45999999999998</v>
      </c>
      <c r="DG30">
        <v>28</v>
      </c>
      <c r="DH30">
        <f t="shared" si="1"/>
        <v>131.46</v>
      </c>
    </row>
    <row r="31" spans="1:112" x14ac:dyDescent="0.35">
      <c r="A31">
        <v>62423</v>
      </c>
      <c r="B31">
        <v>62423</v>
      </c>
      <c r="C31" t="s">
        <v>1358</v>
      </c>
      <c r="D31" t="s">
        <v>121</v>
      </c>
      <c r="E31" t="s">
        <v>99</v>
      </c>
      <c r="F31" t="s">
        <v>104</v>
      </c>
      <c r="G31" t="s">
        <v>119</v>
      </c>
      <c r="J31">
        <v>356528119</v>
      </c>
      <c r="K31" t="s">
        <v>1355</v>
      </c>
      <c r="L31" t="s">
        <v>297</v>
      </c>
      <c r="M31" t="s">
        <v>39</v>
      </c>
      <c r="P31" t="s">
        <v>38</v>
      </c>
      <c r="Q31" t="s">
        <v>4</v>
      </c>
      <c r="V31" t="s">
        <v>51</v>
      </c>
      <c r="AE31" t="s">
        <v>969</v>
      </c>
      <c r="AI31" t="s">
        <v>1357</v>
      </c>
      <c r="AK31" t="s">
        <v>1356</v>
      </c>
      <c r="AL31">
        <v>4601130</v>
      </c>
      <c r="AM31" t="s">
        <v>782</v>
      </c>
      <c r="AN31" t="s">
        <v>113</v>
      </c>
      <c r="AO31" t="s">
        <v>297</v>
      </c>
      <c r="AP31" t="s">
        <v>1355</v>
      </c>
      <c r="AQ31" t="s">
        <v>1354</v>
      </c>
      <c r="AR31" s="1">
        <v>44094</v>
      </c>
      <c r="AX31">
        <v>11</v>
      </c>
      <c r="AY31">
        <v>660494</v>
      </c>
      <c r="AZ31">
        <v>5524263</v>
      </c>
      <c r="BA31">
        <v>9243</v>
      </c>
      <c r="BB31" t="s">
        <v>295</v>
      </c>
      <c r="BC31" t="s">
        <v>1175</v>
      </c>
      <c r="BD31" t="s">
        <v>94</v>
      </c>
      <c r="BE31" t="s">
        <v>293</v>
      </c>
      <c r="BF31" t="s">
        <v>449</v>
      </c>
      <c r="BG31">
        <v>1</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1.24501182953742</v>
      </c>
      <c r="CL31">
        <v>1.8220007178451201</v>
      </c>
      <c r="CM31">
        <v>0.15</v>
      </c>
      <c r="CN31">
        <v>0.72</v>
      </c>
      <c r="CO31">
        <v>1.25</v>
      </c>
      <c r="CP31">
        <v>0.15</v>
      </c>
      <c r="CQ31">
        <v>1.82</v>
      </c>
      <c r="CR31">
        <v>0.72</v>
      </c>
      <c r="CS31">
        <v>1.82</v>
      </c>
      <c r="CT31">
        <v>0.72</v>
      </c>
      <c r="CU31">
        <v>459982</v>
      </c>
      <c r="CV31">
        <v>0.72</v>
      </c>
      <c r="CW31">
        <v>1</v>
      </c>
      <c r="CX31">
        <v>0.72</v>
      </c>
      <c r="CZ31">
        <v>41</v>
      </c>
      <c r="DA31">
        <v>31</v>
      </c>
      <c r="DB31">
        <v>32</v>
      </c>
      <c r="DC31">
        <v>24</v>
      </c>
      <c r="DD31" t="s">
        <v>1340</v>
      </c>
      <c r="DE31" t="s">
        <v>0</v>
      </c>
      <c r="DF31">
        <f t="shared" si="0"/>
        <v>132.17999999999998</v>
      </c>
      <c r="DG31">
        <v>29</v>
      </c>
      <c r="DH31">
        <f t="shared" si="1"/>
        <v>132.18</v>
      </c>
    </row>
    <row r="32" spans="1:112" x14ac:dyDescent="0.35">
      <c r="A32">
        <v>61608</v>
      </c>
      <c r="C32" t="s">
        <v>1353</v>
      </c>
      <c r="D32" t="s">
        <v>121</v>
      </c>
      <c r="E32" t="s">
        <v>99</v>
      </c>
      <c r="F32" t="s">
        <v>104</v>
      </c>
      <c r="G32" t="s">
        <v>119</v>
      </c>
      <c r="J32">
        <v>356552735</v>
      </c>
      <c r="AL32">
        <v>4605389</v>
      </c>
      <c r="AM32" t="s">
        <v>782</v>
      </c>
      <c r="AN32" t="s">
        <v>113</v>
      </c>
      <c r="AO32" t="s">
        <v>806</v>
      </c>
      <c r="AP32" t="s">
        <v>801</v>
      </c>
      <c r="AQ32" t="s">
        <v>1352</v>
      </c>
      <c r="AR32" s="1">
        <v>41923</v>
      </c>
      <c r="AX32">
        <v>11</v>
      </c>
      <c r="AY32">
        <v>659250</v>
      </c>
      <c r="AZ32">
        <v>5550343</v>
      </c>
      <c r="BA32">
        <v>3534</v>
      </c>
      <c r="BB32" t="s">
        <v>803</v>
      </c>
      <c r="BC32" t="s">
        <v>1351</v>
      </c>
      <c r="BD32" t="s">
        <v>94</v>
      </c>
      <c r="BE32" t="s">
        <v>801</v>
      </c>
      <c r="BF32" t="s">
        <v>449</v>
      </c>
      <c r="BG32">
        <v>1</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0.53997763419684697</v>
      </c>
      <c r="CL32">
        <v>1.26531586663102</v>
      </c>
      <c r="CM32">
        <v>0.54</v>
      </c>
      <c r="CN32">
        <v>1.27</v>
      </c>
      <c r="CO32">
        <v>0.54</v>
      </c>
      <c r="CP32">
        <v>0.54</v>
      </c>
      <c r="CQ32">
        <v>1.27</v>
      </c>
      <c r="CR32">
        <v>1.27</v>
      </c>
      <c r="CS32">
        <v>1.27</v>
      </c>
      <c r="CT32">
        <v>1.27</v>
      </c>
      <c r="CU32">
        <v>442542</v>
      </c>
      <c r="CV32">
        <v>1.27</v>
      </c>
      <c r="CW32">
        <v>1</v>
      </c>
      <c r="CX32">
        <v>1.27</v>
      </c>
      <c r="CZ32">
        <v>23</v>
      </c>
      <c r="DA32">
        <v>22</v>
      </c>
      <c r="DB32">
        <v>43</v>
      </c>
      <c r="DC32">
        <v>25</v>
      </c>
      <c r="DD32" t="s">
        <v>1340</v>
      </c>
      <c r="DE32" t="s">
        <v>0</v>
      </c>
      <c r="DF32">
        <f t="shared" si="0"/>
        <v>133.44999999999999</v>
      </c>
      <c r="DG32">
        <v>30</v>
      </c>
      <c r="DH32">
        <f t="shared" si="1"/>
        <v>133.45000000000002</v>
      </c>
    </row>
    <row r="33" spans="1:112" hidden="1" x14ac:dyDescent="0.35">
      <c r="A33">
        <v>1004600159</v>
      </c>
      <c r="D33" t="s">
        <v>100</v>
      </c>
      <c r="E33" t="s">
        <v>120</v>
      </c>
      <c r="F33" t="s">
        <v>104</v>
      </c>
      <c r="G33" t="s">
        <v>103</v>
      </c>
      <c r="H33" t="s">
        <v>525</v>
      </c>
      <c r="J33">
        <v>356518027</v>
      </c>
      <c r="AL33">
        <v>4600159</v>
      </c>
      <c r="AX33">
        <v>11</v>
      </c>
      <c r="AY33">
        <v>645232</v>
      </c>
      <c r="AZ33">
        <v>5492555</v>
      </c>
      <c r="BA33">
        <v>1715.8936852255599</v>
      </c>
      <c r="BB33" t="s">
        <v>583</v>
      </c>
      <c r="BC33" t="s">
        <v>583</v>
      </c>
      <c r="BD33" t="s">
        <v>94</v>
      </c>
      <c r="BE33" t="s">
        <v>582</v>
      </c>
      <c r="BF33" t="s">
        <v>449</v>
      </c>
      <c r="BG33">
        <v>1</v>
      </c>
      <c r="BH33">
        <v>1004600019</v>
      </c>
      <c r="BI33">
        <v>1</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1.5939585201617299</v>
      </c>
      <c r="CM33">
        <v>0</v>
      </c>
      <c r="CN33">
        <v>0.03</v>
      </c>
      <c r="CO33">
        <v>0</v>
      </c>
      <c r="CP33">
        <v>0</v>
      </c>
      <c r="CQ33">
        <v>1.59</v>
      </c>
      <c r="CR33">
        <v>0.02</v>
      </c>
      <c r="CS33">
        <v>1.59</v>
      </c>
      <c r="CT33">
        <v>0.02</v>
      </c>
      <c r="CU33">
        <v>8722</v>
      </c>
      <c r="CV33">
        <v>1.59</v>
      </c>
      <c r="CW33">
        <v>2</v>
      </c>
      <c r="CX33">
        <v>0.79500000000000004</v>
      </c>
      <c r="CZ33">
        <v>40</v>
      </c>
      <c r="DA33">
        <v>30</v>
      </c>
      <c r="DB33">
        <v>36</v>
      </c>
      <c r="DC33">
        <v>26</v>
      </c>
      <c r="DD33" t="s">
        <v>1340</v>
      </c>
      <c r="DE33" t="s">
        <v>0</v>
      </c>
      <c r="DF33">
        <f t="shared" si="0"/>
        <v>134.24499999999998</v>
      </c>
      <c r="DG33">
        <v>31</v>
      </c>
      <c r="DH33">
        <f t="shared" si="1"/>
        <v>133.47000000000003</v>
      </c>
    </row>
    <row r="34" spans="1:112" hidden="1" x14ac:dyDescent="0.35">
      <c r="A34">
        <v>1004600019</v>
      </c>
      <c r="D34" t="s">
        <v>100</v>
      </c>
      <c r="E34" t="s">
        <v>120</v>
      </c>
      <c r="F34" t="s">
        <v>104</v>
      </c>
      <c r="G34" t="s">
        <v>103</v>
      </c>
      <c r="H34" t="s">
        <v>1180</v>
      </c>
      <c r="J34">
        <v>356518027</v>
      </c>
      <c r="AL34">
        <v>4600019</v>
      </c>
      <c r="AX34">
        <v>11</v>
      </c>
      <c r="AY34">
        <v>645214</v>
      </c>
      <c r="AZ34">
        <v>5492571</v>
      </c>
      <c r="BA34">
        <v>1741.1805562744</v>
      </c>
      <c r="BB34" t="s">
        <v>583</v>
      </c>
      <c r="BC34" t="s">
        <v>583</v>
      </c>
      <c r="BD34" t="s">
        <v>94</v>
      </c>
      <c r="BE34" t="s">
        <v>582</v>
      </c>
      <c r="BF34" t="s">
        <v>1350</v>
      </c>
      <c r="BG34">
        <v>2</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1.56895852016171</v>
      </c>
      <c r="CM34">
        <v>0</v>
      </c>
      <c r="CN34">
        <v>1.57</v>
      </c>
      <c r="CO34">
        <v>0</v>
      </c>
      <c r="CP34">
        <v>0</v>
      </c>
      <c r="CQ34">
        <v>1.57</v>
      </c>
      <c r="CR34">
        <v>1.57</v>
      </c>
      <c r="CS34">
        <v>1.57</v>
      </c>
      <c r="CT34">
        <v>1.57</v>
      </c>
      <c r="CU34">
        <v>8722</v>
      </c>
      <c r="CV34">
        <v>1.59</v>
      </c>
      <c r="CW34">
        <v>2</v>
      </c>
      <c r="CX34">
        <v>0.79500000000000004</v>
      </c>
      <c r="CZ34">
        <v>40</v>
      </c>
      <c r="DA34">
        <v>30</v>
      </c>
      <c r="DB34">
        <v>36</v>
      </c>
      <c r="DC34">
        <v>26</v>
      </c>
      <c r="DD34" t="s">
        <v>1340</v>
      </c>
      <c r="DE34" t="s">
        <v>0</v>
      </c>
      <c r="DF34">
        <f t="shared" si="0"/>
        <v>135.03999999999996</v>
      </c>
      <c r="DG34">
        <v>32</v>
      </c>
      <c r="DH34">
        <f t="shared" si="1"/>
        <v>135.04000000000002</v>
      </c>
    </row>
    <row r="35" spans="1:112" hidden="1" x14ac:dyDescent="0.35">
      <c r="A35">
        <v>1024754325</v>
      </c>
      <c r="D35" t="s">
        <v>100</v>
      </c>
      <c r="E35" t="s">
        <v>99</v>
      </c>
      <c r="F35" t="s">
        <v>104</v>
      </c>
      <c r="G35" t="s">
        <v>103</v>
      </c>
      <c r="J35">
        <v>356561520</v>
      </c>
      <c r="AL35">
        <v>24754325</v>
      </c>
      <c r="AX35">
        <v>11</v>
      </c>
      <c r="AY35">
        <v>649181</v>
      </c>
      <c r="AZ35">
        <v>5508741</v>
      </c>
      <c r="BA35">
        <v>7414.1456083653902</v>
      </c>
      <c r="BB35" t="s">
        <v>598</v>
      </c>
      <c r="BC35" t="s">
        <v>1349</v>
      </c>
      <c r="BD35" t="s">
        <v>94</v>
      </c>
      <c r="BE35" t="s">
        <v>596</v>
      </c>
      <c r="BF35" t="s">
        <v>449</v>
      </c>
      <c r="BG35">
        <v>1</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0.72485058705987504</v>
      </c>
      <c r="CL35">
        <v>1.25683540763346</v>
      </c>
      <c r="CM35">
        <v>0.72</v>
      </c>
      <c r="CN35">
        <v>1.26</v>
      </c>
      <c r="CO35">
        <v>0.72</v>
      </c>
      <c r="CP35">
        <v>0.72</v>
      </c>
      <c r="CQ35">
        <v>1.26</v>
      </c>
      <c r="CR35">
        <v>1.26</v>
      </c>
      <c r="CS35">
        <v>1.26</v>
      </c>
      <c r="CT35">
        <v>1.26</v>
      </c>
      <c r="CU35">
        <v>355342</v>
      </c>
      <c r="CV35">
        <v>1.26</v>
      </c>
      <c r="CW35">
        <v>1</v>
      </c>
      <c r="CX35">
        <v>1.26</v>
      </c>
      <c r="CZ35">
        <v>24</v>
      </c>
      <c r="DA35">
        <v>23</v>
      </c>
      <c r="DB35">
        <v>44</v>
      </c>
      <c r="DC35">
        <v>27</v>
      </c>
      <c r="DD35" t="s">
        <v>1340</v>
      </c>
      <c r="DE35" t="s">
        <v>0</v>
      </c>
      <c r="DF35">
        <f t="shared" si="0"/>
        <v>136.29999999999995</v>
      </c>
      <c r="DG35">
        <v>33</v>
      </c>
      <c r="DH35">
        <f t="shared" si="1"/>
        <v>136.30000000000001</v>
      </c>
    </row>
    <row r="36" spans="1:112" hidden="1" x14ac:dyDescent="0.35">
      <c r="A36">
        <v>1004600042</v>
      </c>
      <c r="D36" t="s">
        <v>100</v>
      </c>
      <c r="E36" t="s">
        <v>120</v>
      </c>
      <c r="F36" t="s">
        <v>104</v>
      </c>
      <c r="G36" t="s">
        <v>103</v>
      </c>
      <c r="H36" t="s">
        <v>168</v>
      </c>
      <c r="J36">
        <v>356533147</v>
      </c>
      <c r="AL36">
        <v>4600042</v>
      </c>
      <c r="AX36">
        <v>11</v>
      </c>
      <c r="AY36">
        <v>652290</v>
      </c>
      <c r="AZ36">
        <v>5525210</v>
      </c>
      <c r="BA36">
        <v>1152.4410627017901</v>
      </c>
      <c r="BB36" t="s">
        <v>942</v>
      </c>
      <c r="BC36" t="s">
        <v>941</v>
      </c>
      <c r="BD36" t="s">
        <v>94</v>
      </c>
      <c r="BE36" t="s">
        <v>940</v>
      </c>
      <c r="BF36" t="s">
        <v>449</v>
      </c>
      <c r="BG36">
        <v>1</v>
      </c>
      <c r="BH36" t="s">
        <v>1348</v>
      </c>
      <c r="BI36">
        <v>3</v>
      </c>
      <c r="BL36">
        <v>24455370000013</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1.8475497116333901</v>
      </c>
      <c r="CL36">
        <v>1.8475497116333901</v>
      </c>
      <c r="CM36">
        <v>0.16</v>
      </c>
      <c r="CN36">
        <v>0.16</v>
      </c>
      <c r="CO36">
        <v>1.85</v>
      </c>
      <c r="CP36">
        <v>0.16</v>
      </c>
      <c r="CQ36">
        <v>1.85</v>
      </c>
      <c r="CR36">
        <v>0.16</v>
      </c>
      <c r="CS36">
        <v>1.85</v>
      </c>
      <c r="CT36">
        <v>0.16</v>
      </c>
      <c r="CU36">
        <v>15262</v>
      </c>
      <c r="CV36">
        <v>1.59</v>
      </c>
      <c r="CW36">
        <v>3</v>
      </c>
      <c r="CX36">
        <v>0.53</v>
      </c>
      <c r="CZ36">
        <v>51</v>
      </c>
      <c r="DA36">
        <v>39</v>
      </c>
      <c r="DB36">
        <v>30</v>
      </c>
      <c r="DC36">
        <v>28</v>
      </c>
      <c r="DD36" t="s">
        <v>1340</v>
      </c>
      <c r="DE36" t="s">
        <v>0</v>
      </c>
      <c r="DF36">
        <f t="shared" si="0"/>
        <v>136.82999999999996</v>
      </c>
      <c r="DG36">
        <v>34</v>
      </c>
      <c r="DH36">
        <f t="shared" si="1"/>
        <v>136.46</v>
      </c>
    </row>
    <row r="37" spans="1:112" hidden="1" x14ac:dyDescent="0.35">
      <c r="A37">
        <v>1004602341</v>
      </c>
      <c r="D37" t="s">
        <v>100</v>
      </c>
      <c r="E37" t="s">
        <v>99</v>
      </c>
      <c r="F37" t="s">
        <v>104</v>
      </c>
      <c r="G37" t="s">
        <v>103</v>
      </c>
      <c r="J37">
        <v>356533147</v>
      </c>
      <c r="AL37">
        <v>4602341</v>
      </c>
      <c r="AX37">
        <v>11</v>
      </c>
      <c r="AY37">
        <v>652141</v>
      </c>
      <c r="AZ37">
        <v>5525208</v>
      </c>
      <c r="BA37">
        <v>1307.94623627444</v>
      </c>
      <c r="BB37" t="s">
        <v>942</v>
      </c>
      <c r="BC37" t="s">
        <v>941</v>
      </c>
      <c r="BD37" t="s">
        <v>94</v>
      </c>
      <c r="BE37" t="s">
        <v>940</v>
      </c>
      <c r="BF37" t="s">
        <v>1347</v>
      </c>
      <c r="BG37">
        <v>2</v>
      </c>
      <c r="BH37" t="s">
        <v>1346</v>
      </c>
      <c r="BI37">
        <v>2</v>
      </c>
      <c r="BL37">
        <v>24455370000013</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1.69154971163331</v>
      </c>
      <c r="CL37">
        <v>1.69154971163331</v>
      </c>
      <c r="CM37">
        <v>0.85</v>
      </c>
      <c r="CN37">
        <v>0.85</v>
      </c>
      <c r="CO37">
        <v>1.69</v>
      </c>
      <c r="CP37">
        <v>0.85</v>
      </c>
      <c r="CQ37">
        <v>1.69</v>
      </c>
      <c r="CR37">
        <v>0.85</v>
      </c>
      <c r="CS37">
        <v>1.69</v>
      </c>
      <c r="CT37">
        <v>0.85</v>
      </c>
      <c r="CU37">
        <v>15262</v>
      </c>
      <c r="CV37">
        <v>1.59</v>
      </c>
      <c r="CW37">
        <v>3</v>
      </c>
      <c r="CX37">
        <v>0.53</v>
      </c>
      <c r="CZ37">
        <v>51</v>
      </c>
      <c r="DA37">
        <v>39</v>
      </c>
      <c r="DB37">
        <v>30</v>
      </c>
      <c r="DC37">
        <v>28</v>
      </c>
      <c r="DD37" t="s">
        <v>1340</v>
      </c>
      <c r="DE37" t="s">
        <v>0</v>
      </c>
      <c r="DF37">
        <f t="shared" si="0"/>
        <v>137.35999999999996</v>
      </c>
      <c r="DG37">
        <v>35</v>
      </c>
      <c r="DH37">
        <f t="shared" si="1"/>
        <v>137.31</v>
      </c>
    </row>
    <row r="38" spans="1:112" hidden="1" x14ac:dyDescent="0.35">
      <c r="A38">
        <v>1004601193</v>
      </c>
      <c r="D38" t="s">
        <v>100</v>
      </c>
      <c r="E38" t="s">
        <v>99</v>
      </c>
      <c r="F38" t="s">
        <v>104</v>
      </c>
      <c r="G38" t="s">
        <v>103</v>
      </c>
      <c r="J38">
        <v>356533147</v>
      </c>
      <c r="AL38">
        <v>4601193</v>
      </c>
      <c r="AX38">
        <v>11</v>
      </c>
      <c r="AY38">
        <v>651373</v>
      </c>
      <c r="AZ38">
        <v>5525039</v>
      </c>
      <c r="BA38">
        <v>2159.2868147491799</v>
      </c>
      <c r="BB38" t="s">
        <v>942</v>
      </c>
      <c r="BC38" t="s">
        <v>941</v>
      </c>
      <c r="BD38" t="s">
        <v>94</v>
      </c>
      <c r="BE38" t="s">
        <v>940</v>
      </c>
      <c r="BF38" t="s">
        <v>1345</v>
      </c>
      <c r="BG38">
        <v>3</v>
      </c>
      <c r="BH38">
        <v>1004600041</v>
      </c>
      <c r="BI38">
        <v>1</v>
      </c>
      <c r="BL38">
        <v>24455370000013</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0.84054971163338299</v>
      </c>
      <c r="CL38">
        <v>0.84054971163338299</v>
      </c>
      <c r="CM38">
        <v>0.57999999999999996</v>
      </c>
      <c r="CN38">
        <v>0.57999999999999996</v>
      </c>
      <c r="CO38">
        <v>0.84</v>
      </c>
      <c r="CP38">
        <v>0.57999999999999996</v>
      </c>
      <c r="CQ38">
        <v>0.84</v>
      </c>
      <c r="CR38">
        <v>0.57999999999999996</v>
      </c>
      <c r="CS38">
        <v>0.84</v>
      </c>
      <c r="CT38">
        <v>0.57999999999999996</v>
      </c>
      <c r="CU38">
        <v>15262</v>
      </c>
      <c r="CV38">
        <v>1.59</v>
      </c>
      <c r="CW38">
        <v>3</v>
      </c>
      <c r="CX38">
        <v>0.53</v>
      </c>
      <c r="CZ38">
        <v>51</v>
      </c>
      <c r="DA38">
        <v>39</v>
      </c>
      <c r="DB38">
        <v>30</v>
      </c>
      <c r="DC38">
        <v>28</v>
      </c>
      <c r="DD38" t="s">
        <v>1340</v>
      </c>
      <c r="DE38" t="s">
        <v>0</v>
      </c>
      <c r="DF38">
        <f t="shared" si="0"/>
        <v>137.88999999999996</v>
      </c>
      <c r="DG38">
        <v>36</v>
      </c>
      <c r="DH38">
        <f t="shared" si="1"/>
        <v>137.89000000000001</v>
      </c>
    </row>
    <row r="39" spans="1:112" hidden="1" x14ac:dyDescent="0.35">
      <c r="A39">
        <v>62271</v>
      </c>
      <c r="D39" t="s">
        <v>121</v>
      </c>
      <c r="E39" t="s">
        <v>99</v>
      </c>
      <c r="F39" t="s">
        <v>104</v>
      </c>
      <c r="G39" t="s">
        <v>119</v>
      </c>
      <c r="H39" t="s">
        <v>409</v>
      </c>
      <c r="J39">
        <v>356519234</v>
      </c>
      <c r="AL39">
        <v>4605645</v>
      </c>
      <c r="AM39" t="s">
        <v>114</v>
      </c>
      <c r="AN39" t="s">
        <v>113</v>
      </c>
      <c r="AO39" t="s">
        <v>409</v>
      </c>
      <c r="AP39" t="s">
        <v>1344</v>
      </c>
      <c r="AQ39" t="s">
        <v>1343</v>
      </c>
      <c r="AR39" s="1">
        <v>41198</v>
      </c>
      <c r="AX39">
        <v>11</v>
      </c>
      <c r="AY39">
        <v>647505</v>
      </c>
      <c r="AZ39">
        <v>5583314</v>
      </c>
      <c r="BA39">
        <v>364</v>
      </c>
      <c r="BB39" t="s">
        <v>1342</v>
      </c>
      <c r="BC39" t="s">
        <v>1342</v>
      </c>
      <c r="BD39" t="s">
        <v>94</v>
      </c>
      <c r="BF39" t="s">
        <v>449</v>
      </c>
      <c r="BG39">
        <v>1</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1.2529999999999699</v>
      </c>
      <c r="CM39">
        <v>0</v>
      </c>
      <c r="CN39">
        <v>1.25</v>
      </c>
      <c r="CO39">
        <v>0</v>
      </c>
      <c r="CP39">
        <v>0</v>
      </c>
      <c r="CQ39">
        <v>1.25</v>
      </c>
      <c r="CR39">
        <v>1.25</v>
      </c>
      <c r="CS39">
        <v>1.25</v>
      </c>
      <c r="CT39">
        <v>1.25</v>
      </c>
      <c r="CU39">
        <v>453442</v>
      </c>
      <c r="CV39">
        <v>1.25</v>
      </c>
      <c r="CW39">
        <v>1</v>
      </c>
      <c r="CX39">
        <v>1.25</v>
      </c>
      <c r="CZ39">
        <v>25</v>
      </c>
      <c r="DA39">
        <v>24</v>
      </c>
      <c r="DB39">
        <v>45</v>
      </c>
      <c r="DC39">
        <v>29</v>
      </c>
      <c r="DD39" t="s">
        <v>1340</v>
      </c>
      <c r="DE39" t="s">
        <v>0</v>
      </c>
      <c r="DF39">
        <f t="shared" si="0"/>
        <v>139.13999999999996</v>
      </c>
      <c r="DG39">
        <v>37</v>
      </c>
      <c r="DH39">
        <f t="shared" si="1"/>
        <v>139.14000000000001</v>
      </c>
    </row>
    <row r="40" spans="1:112" hidden="1" x14ac:dyDescent="0.35">
      <c r="A40">
        <v>1004602170</v>
      </c>
      <c r="D40" t="s">
        <v>100</v>
      </c>
      <c r="E40" t="s">
        <v>99</v>
      </c>
      <c r="F40" t="s">
        <v>104</v>
      </c>
      <c r="G40" t="s">
        <v>103</v>
      </c>
      <c r="J40">
        <v>356549331</v>
      </c>
      <c r="AL40">
        <v>4602170</v>
      </c>
      <c r="AX40">
        <v>11</v>
      </c>
      <c r="AY40">
        <v>648285</v>
      </c>
      <c r="AZ40">
        <v>5479354</v>
      </c>
      <c r="BA40">
        <v>5975.2594899412297</v>
      </c>
      <c r="BB40" t="s">
        <v>515</v>
      </c>
      <c r="BC40" t="s">
        <v>1341</v>
      </c>
      <c r="BD40" t="s">
        <v>94</v>
      </c>
      <c r="BF40" t="s">
        <v>449</v>
      </c>
      <c r="BG40">
        <v>1</v>
      </c>
      <c r="BH40">
        <v>1004602198</v>
      </c>
      <c r="BI40">
        <v>1</v>
      </c>
      <c r="BL40">
        <v>24617210003773</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1.2260595011787001</v>
      </c>
      <c r="CL40">
        <v>1.2260595011787001</v>
      </c>
      <c r="CM40">
        <v>1.2</v>
      </c>
      <c r="CN40">
        <v>1.2</v>
      </c>
      <c r="CO40">
        <v>1.23</v>
      </c>
      <c r="CP40">
        <v>1.21</v>
      </c>
      <c r="CQ40">
        <v>1.23</v>
      </c>
      <c r="CR40">
        <v>1.21</v>
      </c>
      <c r="CS40">
        <v>1.23</v>
      </c>
      <c r="CT40">
        <v>1.21</v>
      </c>
      <c r="CU40">
        <v>152602</v>
      </c>
      <c r="CV40">
        <v>1.21</v>
      </c>
      <c r="CW40">
        <v>1</v>
      </c>
      <c r="CX40">
        <v>1.21</v>
      </c>
      <c r="CZ40">
        <v>26</v>
      </c>
      <c r="DA40">
        <v>25</v>
      </c>
      <c r="DB40">
        <v>46</v>
      </c>
      <c r="DC40">
        <v>30</v>
      </c>
      <c r="DD40" t="s">
        <v>1340</v>
      </c>
      <c r="DE40" t="s">
        <v>0</v>
      </c>
      <c r="DF40">
        <f t="shared" si="0"/>
        <v>140.34999999999997</v>
      </c>
      <c r="DG40">
        <v>38</v>
      </c>
      <c r="DH40">
        <f t="shared" si="1"/>
        <v>140.35000000000002</v>
      </c>
    </row>
    <row r="41" spans="1:112" hidden="1" x14ac:dyDescent="0.35">
      <c r="A41">
        <v>1004600015</v>
      </c>
      <c r="D41" t="s">
        <v>100</v>
      </c>
      <c r="E41" t="s">
        <v>120</v>
      </c>
      <c r="F41" t="s">
        <v>104</v>
      </c>
      <c r="G41" t="s">
        <v>103</v>
      </c>
      <c r="H41" t="s">
        <v>602</v>
      </c>
      <c r="J41">
        <v>356481554</v>
      </c>
      <c r="AL41">
        <v>4600015</v>
      </c>
      <c r="AX41">
        <v>11</v>
      </c>
      <c r="AY41">
        <v>643618</v>
      </c>
      <c r="AZ41">
        <v>5472098</v>
      </c>
      <c r="BA41">
        <v>354.09040938877399</v>
      </c>
      <c r="BB41" t="s">
        <v>601</v>
      </c>
      <c r="BC41" t="s">
        <v>601</v>
      </c>
      <c r="BD41" t="s">
        <v>94</v>
      </c>
      <c r="BF41" t="s">
        <v>449</v>
      </c>
      <c r="BG41">
        <v>1</v>
      </c>
      <c r="BH41" t="s">
        <v>1339</v>
      </c>
      <c r="BI41">
        <v>5</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1.33690667552644</v>
      </c>
      <c r="CM41">
        <v>0</v>
      </c>
      <c r="CN41">
        <v>0.66</v>
      </c>
      <c r="CO41">
        <v>0</v>
      </c>
      <c r="CP41">
        <v>0</v>
      </c>
      <c r="CQ41">
        <v>1.34</v>
      </c>
      <c r="CR41">
        <v>0.67</v>
      </c>
      <c r="CS41">
        <v>1.34</v>
      </c>
      <c r="CT41">
        <v>0.67</v>
      </c>
      <c r="CU41">
        <v>143882</v>
      </c>
      <c r="CV41">
        <v>0.67</v>
      </c>
      <c r="CW41">
        <v>1</v>
      </c>
      <c r="CX41">
        <v>0.67</v>
      </c>
      <c r="CZ41">
        <v>43</v>
      </c>
      <c r="DA41">
        <v>33</v>
      </c>
      <c r="DB41">
        <v>41</v>
      </c>
      <c r="DC41">
        <v>31</v>
      </c>
      <c r="DD41" t="s">
        <v>887</v>
      </c>
      <c r="DE41" t="s">
        <v>0</v>
      </c>
      <c r="DF41">
        <f t="shared" si="0"/>
        <v>141.01999999999995</v>
      </c>
      <c r="DG41">
        <v>39</v>
      </c>
      <c r="DH41">
        <f t="shared" si="1"/>
        <v>141.02000000000001</v>
      </c>
    </row>
    <row r="42" spans="1:112" hidden="1" x14ac:dyDescent="0.35">
      <c r="A42">
        <v>1004605651</v>
      </c>
      <c r="D42" t="s">
        <v>100</v>
      </c>
      <c r="E42" t="s">
        <v>99</v>
      </c>
      <c r="F42" t="s">
        <v>104</v>
      </c>
      <c r="G42" t="s">
        <v>103</v>
      </c>
      <c r="H42" t="s">
        <v>409</v>
      </c>
      <c r="J42">
        <v>356408386</v>
      </c>
      <c r="AL42">
        <v>4605651</v>
      </c>
      <c r="AX42">
        <v>11</v>
      </c>
      <c r="AY42">
        <v>637943</v>
      </c>
      <c r="AZ42">
        <v>5600848</v>
      </c>
      <c r="BA42">
        <v>164.49704587852301</v>
      </c>
      <c r="BB42" t="s">
        <v>610</v>
      </c>
      <c r="BC42" t="s">
        <v>610</v>
      </c>
      <c r="BD42" t="s">
        <v>94</v>
      </c>
      <c r="BF42" t="s">
        <v>449</v>
      </c>
      <c r="BG42">
        <v>1</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1.11456139901228</v>
      </c>
      <c r="CM42">
        <v>0</v>
      </c>
      <c r="CN42">
        <v>1.11456139901228</v>
      </c>
      <c r="CO42">
        <v>0</v>
      </c>
      <c r="CP42">
        <v>0</v>
      </c>
      <c r="CQ42">
        <v>1.1100000000000001</v>
      </c>
      <c r="CR42">
        <v>1.1100000000000001</v>
      </c>
      <c r="CS42">
        <v>1.1100000000000001</v>
      </c>
      <c r="CT42">
        <v>1.1100000000000001</v>
      </c>
      <c r="CU42">
        <v>220182</v>
      </c>
      <c r="CV42">
        <v>1.1100000000000001</v>
      </c>
      <c r="CW42">
        <v>1</v>
      </c>
      <c r="CX42">
        <v>1.1100000000000001</v>
      </c>
      <c r="CZ42">
        <v>29</v>
      </c>
      <c r="DA42">
        <v>27</v>
      </c>
      <c r="DB42">
        <v>49</v>
      </c>
      <c r="DC42">
        <v>32</v>
      </c>
      <c r="DD42" t="s">
        <v>887</v>
      </c>
      <c r="DE42" t="s">
        <v>0</v>
      </c>
      <c r="DF42">
        <f t="shared" si="0"/>
        <v>142.12999999999997</v>
      </c>
      <c r="DG42">
        <v>40</v>
      </c>
      <c r="DH42">
        <f t="shared" si="1"/>
        <v>142.13000000000002</v>
      </c>
    </row>
    <row r="43" spans="1:112" s="5" customFormat="1" hidden="1" x14ac:dyDescent="0.35">
      <c r="A43" s="5">
        <v>199903</v>
      </c>
      <c r="B43" s="5">
        <v>199903</v>
      </c>
      <c r="D43" s="5" t="s">
        <v>121</v>
      </c>
      <c r="E43" s="5" t="s">
        <v>99</v>
      </c>
      <c r="F43" s="5" t="s">
        <v>104</v>
      </c>
      <c r="G43" s="5" t="s">
        <v>119</v>
      </c>
      <c r="J43" s="5">
        <v>356566187</v>
      </c>
      <c r="K43" s="5" t="s">
        <v>239</v>
      </c>
      <c r="L43" s="5" t="s">
        <v>226</v>
      </c>
      <c r="M43" s="5" t="s">
        <v>39</v>
      </c>
      <c r="P43" s="5" t="s">
        <v>38</v>
      </c>
      <c r="Q43" s="5" t="s">
        <v>4</v>
      </c>
      <c r="V43" s="5" t="s">
        <v>51</v>
      </c>
      <c r="AE43" s="5" t="s">
        <v>35</v>
      </c>
      <c r="AI43" s="5" t="s">
        <v>1338</v>
      </c>
      <c r="AK43" s="5" t="s">
        <v>1337</v>
      </c>
      <c r="AL43" s="5">
        <v>4602351</v>
      </c>
      <c r="AM43" s="5" t="s">
        <v>114</v>
      </c>
      <c r="AN43" s="5" t="s">
        <v>113</v>
      </c>
      <c r="AP43" s="5" t="s">
        <v>239</v>
      </c>
      <c r="AQ43" s="5" t="s">
        <v>1336</v>
      </c>
      <c r="AR43" s="6">
        <v>45516</v>
      </c>
      <c r="AX43" s="5">
        <v>11</v>
      </c>
      <c r="AY43" s="5">
        <v>640833</v>
      </c>
      <c r="AZ43" s="5">
        <v>5480158</v>
      </c>
      <c r="BA43" s="5">
        <v>2484</v>
      </c>
      <c r="BB43" s="5" t="s">
        <v>240</v>
      </c>
      <c r="BC43" s="5" t="s">
        <v>240</v>
      </c>
      <c r="BD43" s="5" t="s">
        <v>94</v>
      </c>
      <c r="BE43" s="5" t="s">
        <v>239</v>
      </c>
      <c r="BF43" s="5" t="s">
        <v>1335</v>
      </c>
      <c r="BG43" s="5">
        <v>2</v>
      </c>
      <c r="BH43" s="5" t="s">
        <v>1334</v>
      </c>
      <c r="BI43" s="5">
        <v>2</v>
      </c>
      <c r="BM43" s="5">
        <v>0</v>
      </c>
      <c r="BN43" s="5">
        <v>0</v>
      </c>
      <c r="BO43" s="5">
        <v>0</v>
      </c>
      <c r="BP43" s="5">
        <v>0</v>
      </c>
      <c r="BQ43" s="5">
        <v>0</v>
      </c>
      <c r="BR43" s="5">
        <v>0</v>
      </c>
      <c r="BS43" s="5">
        <v>0</v>
      </c>
      <c r="BT43" s="5">
        <v>0</v>
      </c>
      <c r="BU43" s="5">
        <v>0</v>
      </c>
      <c r="BV43" s="5">
        <v>0</v>
      </c>
      <c r="BW43" s="5">
        <v>0</v>
      </c>
      <c r="BX43" s="5">
        <v>0</v>
      </c>
      <c r="BY43" s="5">
        <v>0</v>
      </c>
      <c r="BZ43" s="5">
        <v>0</v>
      </c>
      <c r="CA43" s="5">
        <v>0</v>
      </c>
      <c r="CB43" s="5">
        <v>0</v>
      </c>
      <c r="CC43" s="5">
        <v>0</v>
      </c>
      <c r="CD43" s="5">
        <v>0</v>
      </c>
      <c r="CE43" s="5">
        <v>0</v>
      </c>
      <c r="CF43" s="5">
        <v>0</v>
      </c>
      <c r="CG43" s="5">
        <v>0</v>
      </c>
      <c r="CH43" s="5">
        <v>0</v>
      </c>
      <c r="CI43" s="5">
        <v>0</v>
      </c>
      <c r="CJ43" s="5">
        <v>0</v>
      </c>
      <c r="CK43" s="5">
        <v>0.221668055794005</v>
      </c>
      <c r="CL43" s="5">
        <v>2.10329053680403</v>
      </c>
      <c r="CM43" s="5">
        <v>0.22</v>
      </c>
      <c r="CN43" s="5">
        <v>0.5</v>
      </c>
      <c r="CO43" s="5">
        <v>0.22</v>
      </c>
      <c r="CP43" s="5">
        <v>0.22</v>
      </c>
      <c r="CQ43" s="5">
        <v>2.1</v>
      </c>
      <c r="CR43" s="5">
        <v>0.49</v>
      </c>
      <c r="CS43" s="5">
        <v>2.1</v>
      </c>
      <c r="CT43" s="5">
        <v>0.49</v>
      </c>
      <c r="CU43" s="5">
        <v>420743</v>
      </c>
      <c r="CV43" s="5">
        <v>1.19</v>
      </c>
      <c r="CW43" s="5">
        <v>2</v>
      </c>
      <c r="CX43" s="5">
        <v>0.59499999999999997</v>
      </c>
      <c r="CY43" s="5" t="s">
        <v>1330</v>
      </c>
      <c r="CZ43" s="5">
        <v>47</v>
      </c>
      <c r="DA43" s="5">
        <v>50</v>
      </c>
      <c r="DB43" s="5">
        <v>27</v>
      </c>
      <c r="DC43" s="5">
        <v>33</v>
      </c>
      <c r="DD43" s="5" t="s">
        <v>887</v>
      </c>
      <c r="DE43" s="5" t="s">
        <v>0</v>
      </c>
      <c r="DF43" s="5">
        <f t="shared" si="0"/>
        <v>142.72499999999997</v>
      </c>
      <c r="DG43" s="5">
        <v>41</v>
      </c>
      <c r="DH43" s="5">
        <f t="shared" si="1"/>
        <v>142.62000000000003</v>
      </c>
    </row>
    <row r="44" spans="1:112" s="5" customFormat="1" hidden="1" x14ac:dyDescent="0.35">
      <c r="A44" s="5">
        <v>197570</v>
      </c>
      <c r="B44" s="5">
        <v>197570</v>
      </c>
      <c r="D44" s="5" t="s">
        <v>121</v>
      </c>
      <c r="E44" s="5" t="s">
        <v>120</v>
      </c>
      <c r="F44" s="5" t="s">
        <v>104</v>
      </c>
      <c r="G44" s="5" t="s">
        <v>119</v>
      </c>
      <c r="H44" s="5" t="s">
        <v>162</v>
      </c>
      <c r="J44" s="5">
        <v>356566187</v>
      </c>
      <c r="K44" s="5" t="s">
        <v>239</v>
      </c>
      <c r="L44" s="5" t="s">
        <v>159</v>
      </c>
      <c r="M44" s="5" t="s">
        <v>39</v>
      </c>
      <c r="P44" s="5" t="s">
        <v>38</v>
      </c>
      <c r="Q44" s="5" t="s">
        <v>4</v>
      </c>
      <c r="V44" s="5" t="s">
        <v>51</v>
      </c>
      <c r="AE44" s="5" t="s">
        <v>35</v>
      </c>
      <c r="AI44" s="5" t="s">
        <v>1333</v>
      </c>
      <c r="AK44" s="5" t="s">
        <v>1332</v>
      </c>
      <c r="AL44" s="5">
        <v>4600081</v>
      </c>
      <c r="AM44" s="5" t="s">
        <v>114</v>
      </c>
      <c r="AN44" s="5" t="s">
        <v>113</v>
      </c>
      <c r="AO44" s="5" t="s">
        <v>159</v>
      </c>
      <c r="AP44" s="5" t="s">
        <v>239</v>
      </c>
      <c r="AQ44" s="5" t="s">
        <v>1331</v>
      </c>
      <c r="AR44" s="6">
        <v>44097</v>
      </c>
      <c r="AX44" s="5">
        <v>11</v>
      </c>
      <c r="AY44" s="5">
        <v>640897</v>
      </c>
      <c r="AZ44" s="5">
        <v>5480491</v>
      </c>
      <c r="BA44" s="5">
        <v>2876</v>
      </c>
      <c r="BB44" s="5" t="s">
        <v>240</v>
      </c>
      <c r="BC44" s="5" t="s">
        <v>157</v>
      </c>
      <c r="BD44" s="5" t="s">
        <v>94</v>
      </c>
      <c r="BE44" s="5" t="s">
        <v>239</v>
      </c>
      <c r="BF44" s="5" t="s">
        <v>238</v>
      </c>
      <c r="BG44" s="5">
        <v>3</v>
      </c>
      <c r="BM44" s="5">
        <v>0</v>
      </c>
      <c r="BN44" s="5">
        <v>0</v>
      </c>
      <c r="BO44" s="5">
        <v>0</v>
      </c>
      <c r="BP44" s="5">
        <v>0</v>
      </c>
      <c r="BQ44" s="5">
        <v>0</v>
      </c>
      <c r="BR44" s="5">
        <v>0</v>
      </c>
      <c r="BS44" s="5">
        <v>0</v>
      </c>
      <c r="BT44" s="5">
        <v>0</v>
      </c>
      <c r="BU44" s="5">
        <v>0</v>
      </c>
      <c r="BV44" s="5">
        <v>0</v>
      </c>
      <c r="BW44" s="5">
        <v>0</v>
      </c>
      <c r="BX44" s="5">
        <v>0</v>
      </c>
      <c r="BY44" s="5">
        <v>0</v>
      </c>
      <c r="BZ44" s="5">
        <v>0</v>
      </c>
      <c r="CA44" s="5">
        <v>0</v>
      </c>
      <c r="CB44" s="5">
        <v>0</v>
      </c>
      <c r="CC44" s="5">
        <v>0</v>
      </c>
      <c r="CD44" s="5">
        <v>0</v>
      </c>
      <c r="CE44" s="5">
        <v>0</v>
      </c>
      <c r="CF44" s="5">
        <v>0</v>
      </c>
      <c r="CG44" s="5">
        <v>0</v>
      </c>
      <c r="CH44" s="5">
        <v>0</v>
      </c>
      <c r="CI44" s="5">
        <v>0</v>
      </c>
      <c r="CJ44" s="5">
        <v>0</v>
      </c>
      <c r="CK44" s="5">
        <v>0</v>
      </c>
      <c r="CL44" s="5">
        <v>0.69600000000001805</v>
      </c>
      <c r="CM44" s="5">
        <v>0</v>
      </c>
      <c r="CN44" s="5">
        <v>0.7</v>
      </c>
      <c r="CO44" s="5">
        <v>0</v>
      </c>
      <c r="CP44" s="5">
        <v>0</v>
      </c>
      <c r="CQ44" s="5">
        <v>0.7</v>
      </c>
      <c r="CR44" s="5">
        <v>0.7</v>
      </c>
      <c r="CS44" s="5">
        <v>0.7</v>
      </c>
      <c r="CT44" s="5">
        <v>0.7</v>
      </c>
      <c r="CU44" s="5">
        <v>420743</v>
      </c>
      <c r="CV44" s="5">
        <v>1.19</v>
      </c>
      <c r="CW44" s="5">
        <v>2</v>
      </c>
      <c r="CX44" s="5">
        <v>0.59499999999999997</v>
      </c>
      <c r="CY44" s="5" t="s">
        <v>1330</v>
      </c>
      <c r="CZ44" s="5">
        <v>47</v>
      </c>
      <c r="DA44" s="5">
        <v>50</v>
      </c>
      <c r="DB44" s="5">
        <v>27</v>
      </c>
      <c r="DC44" s="5">
        <v>33</v>
      </c>
      <c r="DD44" s="5" t="s">
        <v>887</v>
      </c>
      <c r="DE44" s="5" t="s">
        <v>0</v>
      </c>
      <c r="DF44" s="5">
        <f t="shared" si="0"/>
        <v>143.31999999999996</v>
      </c>
      <c r="DG44" s="5">
        <v>42</v>
      </c>
      <c r="DH44" s="5">
        <f t="shared" si="1"/>
        <v>143.32000000000002</v>
      </c>
    </row>
    <row r="45" spans="1:112" hidden="1" x14ac:dyDescent="0.35">
      <c r="A45">
        <v>1004600051</v>
      </c>
      <c r="D45" t="s">
        <v>100</v>
      </c>
      <c r="E45" t="s">
        <v>120</v>
      </c>
      <c r="F45" t="s">
        <v>104</v>
      </c>
      <c r="G45" t="s">
        <v>103</v>
      </c>
      <c r="H45" t="s">
        <v>1329</v>
      </c>
      <c r="J45">
        <v>356502167</v>
      </c>
      <c r="AL45">
        <v>4600051</v>
      </c>
      <c r="AX45">
        <v>11</v>
      </c>
      <c r="AY45">
        <v>648451</v>
      </c>
      <c r="AZ45">
        <v>5540389</v>
      </c>
      <c r="BA45">
        <v>2333.7898463432002</v>
      </c>
      <c r="BB45" t="s">
        <v>981</v>
      </c>
      <c r="BC45" t="s">
        <v>980</v>
      </c>
      <c r="BD45" t="s">
        <v>94</v>
      </c>
      <c r="BF45" t="s">
        <v>449</v>
      </c>
      <c r="BG45">
        <v>1</v>
      </c>
      <c r="BH45" t="s">
        <v>1328</v>
      </c>
      <c r="BI45">
        <v>3</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1.3499994268531501</v>
      </c>
      <c r="CM45">
        <v>0</v>
      </c>
      <c r="CN45">
        <v>0.24</v>
      </c>
      <c r="CO45">
        <v>0</v>
      </c>
      <c r="CP45">
        <v>0</v>
      </c>
      <c r="CQ45">
        <v>1.35</v>
      </c>
      <c r="CR45">
        <v>0.24</v>
      </c>
      <c r="CS45">
        <v>1.35</v>
      </c>
      <c r="CT45">
        <v>0.24</v>
      </c>
      <c r="CU45">
        <v>19622</v>
      </c>
      <c r="CV45">
        <v>1.07</v>
      </c>
      <c r="CW45">
        <v>2</v>
      </c>
      <c r="CX45">
        <v>0.53500000000000003</v>
      </c>
      <c r="CZ45">
        <v>50</v>
      </c>
      <c r="DA45">
        <v>38</v>
      </c>
      <c r="DB45">
        <v>40</v>
      </c>
      <c r="DC45">
        <v>34</v>
      </c>
      <c r="DD45" t="s">
        <v>887</v>
      </c>
      <c r="DE45" t="s">
        <v>0</v>
      </c>
      <c r="DF45">
        <f t="shared" si="0"/>
        <v>143.85499999999996</v>
      </c>
      <c r="DG45">
        <v>43</v>
      </c>
      <c r="DH45">
        <f t="shared" si="1"/>
        <v>143.56000000000003</v>
      </c>
    </row>
    <row r="46" spans="1:112" hidden="1" x14ac:dyDescent="0.35">
      <c r="A46">
        <v>1004600189</v>
      </c>
      <c r="D46" t="s">
        <v>100</v>
      </c>
      <c r="E46" t="s">
        <v>120</v>
      </c>
      <c r="F46" t="s">
        <v>104</v>
      </c>
      <c r="G46" t="s">
        <v>103</v>
      </c>
      <c r="H46" t="s">
        <v>1327</v>
      </c>
      <c r="J46">
        <v>356502167</v>
      </c>
      <c r="AL46">
        <v>4600189</v>
      </c>
      <c r="AX46">
        <v>11</v>
      </c>
      <c r="AY46">
        <v>648369</v>
      </c>
      <c r="AZ46">
        <v>5540600</v>
      </c>
      <c r="BA46">
        <v>2576.54009161881</v>
      </c>
      <c r="BB46" t="s">
        <v>981</v>
      </c>
      <c r="BC46" t="s">
        <v>980</v>
      </c>
      <c r="BD46" t="s">
        <v>94</v>
      </c>
      <c r="BF46" t="s">
        <v>1326</v>
      </c>
      <c r="BG46">
        <v>2</v>
      </c>
      <c r="BH46" t="s">
        <v>1325</v>
      </c>
      <c r="BI46">
        <v>2</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1.1069994268530301</v>
      </c>
      <c r="CM46">
        <v>0</v>
      </c>
      <c r="CN46">
        <v>0.83</v>
      </c>
      <c r="CO46">
        <v>0</v>
      </c>
      <c r="CP46">
        <v>0</v>
      </c>
      <c r="CQ46">
        <v>1.1100000000000001</v>
      </c>
      <c r="CR46">
        <v>0.83</v>
      </c>
      <c r="CS46">
        <v>1.1100000000000001</v>
      </c>
      <c r="CT46">
        <v>0.83</v>
      </c>
      <c r="CU46">
        <v>19622</v>
      </c>
      <c r="CV46">
        <v>1.07</v>
      </c>
      <c r="CW46">
        <v>2</v>
      </c>
      <c r="CX46">
        <v>0.53500000000000003</v>
      </c>
      <c r="CZ46">
        <v>50</v>
      </c>
      <c r="DA46">
        <v>38</v>
      </c>
      <c r="DB46">
        <v>40</v>
      </c>
      <c r="DC46">
        <v>34</v>
      </c>
      <c r="DD46" t="s">
        <v>887</v>
      </c>
      <c r="DE46" t="s">
        <v>0</v>
      </c>
      <c r="DF46">
        <f t="shared" si="0"/>
        <v>144.38999999999996</v>
      </c>
      <c r="DG46">
        <v>44</v>
      </c>
      <c r="DH46">
        <f t="shared" si="1"/>
        <v>144.39000000000004</v>
      </c>
    </row>
    <row r="47" spans="1:112" hidden="1" x14ac:dyDescent="0.35">
      <c r="A47">
        <v>1004607575</v>
      </c>
      <c r="D47" t="s">
        <v>100</v>
      </c>
      <c r="E47" t="s">
        <v>99</v>
      </c>
      <c r="F47" t="s">
        <v>104</v>
      </c>
      <c r="G47" t="s">
        <v>103</v>
      </c>
      <c r="J47">
        <v>356544517</v>
      </c>
      <c r="AL47">
        <v>4607575</v>
      </c>
      <c r="AX47">
        <v>11</v>
      </c>
      <c r="AY47">
        <v>650399</v>
      </c>
      <c r="AZ47">
        <v>5491770</v>
      </c>
      <c r="BA47">
        <v>11437.317825989399</v>
      </c>
      <c r="BB47" t="s">
        <v>570</v>
      </c>
      <c r="BC47" t="s">
        <v>1324</v>
      </c>
      <c r="BD47" t="s">
        <v>94</v>
      </c>
      <c r="BF47" t="s">
        <v>449</v>
      </c>
      <c r="BG47">
        <v>1</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1.0464790738454499</v>
      </c>
      <c r="CM47">
        <v>0</v>
      </c>
      <c r="CN47">
        <v>1.0464790738454499</v>
      </c>
      <c r="CO47">
        <v>0</v>
      </c>
      <c r="CP47">
        <v>0</v>
      </c>
      <c r="CQ47">
        <v>1.05</v>
      </c>
      <c r="CR47">
        <v>1.05</v>
      </c>
      <c r="CS47">
        <v>1.05</v>
      </c>
      <c r="CT47">
        <v>1.05</v>
      </c>
      <c r="CU47">
        <v>289942</v>
      </c>
      <c r="CV47">
        <v>1.05</v>
      </c>
      <c r="CW47">
        <v>1</v>
      </c>
      <c r="CX47">
        <v>1.05</v>
      </c>
      <c r="CZ47">
        <v>31</v>
      </c>
      <c r="DA47">
        <v>28</v>
      </c>
      <c r="DB47">
        <v>54</v>
      </c>
      <c r="DC47">
        <v>35</v>
      </c>
      <c r="DD47" t="s">
        <v>887</v>
      </c>
      <c r="DE47" t="s">
        <v>0</v>
      </c>
      <c r="DF47">
        <f t="shared" si="0"/>
        <v>145.43999999999997</v>
      </c>
      <c r="DG47">
        <v>45</v>
      </c>
      <c r="DH47">
        <f t="shared" si="1"/>
        <v>145.44000000000005</v>
      </c>
    </row>
    <row r="48" spans="1:112" hidden="1" x14ac:dyDescent="0.35">
      <c r="A48">
        <v>1004600736</v>
      </c>
      <c r="D48" t="s">
        <v>100</v>
      </c>
      <c r="E48" t="s">
        <v>99</v>
      </c>
      <c r="F48" t="s">
        <v>104</v>
      </c>
      <c r="G48" t="s">
        <v>103</v>
      </c>
      <c r="J48">
        <v>356538950</v>
      </c>
      <c r="AL48">
        <v>4600736</v>
      </c>
      <c r="AX48">
        <v>11</v>
      </c>
      <c r="AY48">
        <v>666277</v>
      </c>
      <c r="AZ48">
        <v>5502297</v>
      </c>
      <c r="BA48">
        <v>85.886335392469604</v>
      </c>
      <c r="BB48" t="s">
        <v>1077</v>
      </c>
      <c r="BC48" t="s">
        <v>1077</v>
      </c>
      <c r="BD48" t="s">
        <v>94</v>
      </c>
      <c r="BF48" t="s">
        <v>1078</v>
      </c>
      <c r="BG48">
        <v>10</v>
      </c>
      <c r="BH48" t="s">
        <v>1323</v>
      </c>
      <c r="BI48">
        <v>2</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2.8796667036098502</v>
      </c>
      <c r="CM48">
        <v>0</v>
      </c>
      <c r="CN48">
        <v>1.18</v>
      </c>
      <c r="CO48">
        <v>0</v>
      </c>
      <c r="CP48">
        <v>0</v>
      </c>
      <c r="CQ48">
        <v>2.88</v>
      </c>
      <c r="CR48">
        <v>1.18</v>
      </c>
      <c r="CS48">
        <v>2.88</v>
      </c>
      <c r="CT48">
        <v>1.18</v>
      </c>
      <c r="CU48">
        <v>165682</v>
      </c>
      <c r="CV48">
        <v>1.18</v>
      </c>
      <c r="CW48">
        <v>1</v>
      </c>
      <c r="CX48">
        <v>1.18</v>
      </c>
      <c r="CY48" t="s">
        <v>1322</v>
      </c>
      <c r="CZ48">
        <v>28</v>
      </c>
      <c r="DA48">
        <v>63</v>
      </c>
      <c r="DB48">
        <v>20</v>
      </c>
      <c r="DC48">
        <v>36</v>
      </c>
      <c r="DD48" t="s">
        <v>887</v>
      </c>
      <c r="DE48" t="s">
        <v>0</v>
      </c>
      <c r="DF48">
        <f t="shared" si="0"/>
        <v>146.61999999999998</v>
      </c>
      <c r="DG48">
        <v>46</v>
      </c>
      <c r="DH48">
        <f t="shared" si="1"/>
        <v>146.62000000000006</v>
      </c>
    </row>
    <row r="49" spans="1:112" hidden="1" x14ac:dyDescent="0.35">
      <c r="A49">
        <v>1004600323</v>
      </c>
      <c r="D49" t="s">
        <v>100</v>
      </c>
      <c r="E49" t="s">
        <v>120</v>
      </c>
      <c r="F49" t="s">
        <v>104</v>
      </c>
      <c r="G49" t="s">
        <v>103</v>
      </c>
      <c r="H49" t="s">
        <v>525</v>
      </c>
      <c r="J49">
        <v>356561989</v>
      </c>
      <c r="AL49">
        <v>4600323</v>
      </c>
      <c r="AX49">
        <v>11</v>
      </c>
      <c r="AY49">
        <v>664627</v>
      </c>
      <c r="AZ49">
        <v>5502171</v>
      </c>
      <c r="BA49">
        <v>1008.26282713456</v>
      </c>
      <c r="BB49" t="s">
        <v>451</v>
      </c>
      <c r="BC49" t="s">
        <v>1320</v>
      </c>
      <c r="BD49" t="s">
        <v>94</v>
      </c>
      <c r="BE49" t="s">
        <v>1312</v>
      </c>
      <c r="BF49" t="s">
        <v>449</v>
      </c>
      <c r="BG49">
        <v>1</v>
      </c>
      <c r="BH49" t="s">
        <v>1321</v>
      </c>
      <c r="BI49">
        <v>16</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1.9753253424983701</v>
      </c>
      <c r="CL49">
        <v>8.6370406263255504</v>
      </c>
      <c r="CM49">
        <v>0.04</v>
      </c>
      <c r="CN49">
        <v>0.06</v>
      </c>
      <c r="CO49">
        <v>1.98</v>
      </c>
      <c r="CP49">
        <v>0.04</v>
      </c>
      <c r="CQ49">
        <v>8.64</v>
      </c>
      <c r="CR49">
        <v>0.06</v>
      </c>
      <c r="CS49">
        <v>8.64</v>
      </c>
      <c r="CT49">
        <v>0.06</v>
      </c>
      <c r="CU49">
        <v>233262</v>
      </c>
      <c r="CV49">
        <v>1.86</v>
      </c>
      <c r="CW49">
        <v>5</v>
      </c>
      <c r="CX49">
        <v>0.372</v>
      </c>
      <c r="CZ49">
        <v>64</v>
      </c>
      <c r="DA49">
        <v>77</v>
      </c>
      <c r="DB49">
        <v>6</v>
      </c>
      <c r="DC49">
        <v>37</v>
      </c>
      <c r="DD49" t="s">
        <v>887</v>
      </c>
      <c r="DE49" t="s">
        <v>0</v>
      </c>
      <c r="DF49">
        <f t="shared" si="0"/>
        <v>146.99199999999999</v>
      </c>
      <c r="DG49">
        <v>47</v>
      </c>
      <c r="DH49">
        <f t="shared" si="1"/>
        <v>146.68000000000006</v>
      </c>
    </row>
    <row r="50" spans="1:112" hidden="1" x14ac:dyDescent="0.35">
      <c r="A50">
        <v>1004606818</v>
      </c>
      <c r="D50" t="s">
        <v>100</v>
      </c>
      <c r="E50" t="s">
        <v>180</v>
      </c>
      <c r="F50" t="s">
        <v>104</v>
      </c>
      <c r="G50" t="s">
        <v>103</v>
      </c>
      <c r="I50" t="s">
        <v>7</v>
      </c>
      <c r="J50">
        <v>356561989</v>
      </c>
      <c r="AL50">
        <v>4606818</v>
      </c>
      <c r="AX50">
        <v>11</v>
      </c>
      <c r="AY50">
        <v>664635</v>
      </c>
      <c r="AZ50">
        <v>5502135</v>
      </c>
      <c r="BA50">
        <v>1046.14073368408</v>
      </c>
      <c r="BB50" t="s">
        <v>451</v>
      </c>
      <c r="BC50" t="s">
        <v>1320</v>
      </c>
      <c r="BD50" t="s">
        <v>94</v>
      </c>
      <c r="BE50" t="s">
        <v>1312</v>
      </c>
      <c r="BF50" t="s">
        <v>1319</v>
      </c>
      <c r="BG50">
        <v>2</v>
      </c>
      <c r="BH50" t="s">
        <v>1318</v>
      </c>
      <c r="BI50">
        <v>15</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1.9383253424984199</v>
      </c>
      <c r="CL50">
        <v>8.5802473528043599</v>
      </c>
      <c r="CM50">
        <v>0.4</v>
      </c>
      <c r="CN50">
        <v>0.66</v>
      </c>
      <c r="CO50">
        <v>1.94</v>
      </c>
      <c r="CP50">
        <v>0.4</v>
      </c>
      <c r="CQ50">
        <v>8.58</v>
      </c>
      <c r="CR50">
        <v>0.65</v>
      </c>
      <c r="CS50">
        <v>8.58</v>
      </c>
      <c r="CT50">
        <v>0.65</v>
      </c>
      <c r="CU50">
        <v>233262</v>
      </c>
      <c r="CV50">
        <v>1.86</v>
      </c>
      <c r="CW50">
        <v>5</v>
      </c>
      <c r="CX50">
        <v>0.372</v>
      </c>
      <c r="CZ50">
        <v>64</v>
      </c>
      <c r="DA50">
        <v>77</v>
      </c>
      <c r="DB50">
        <v>6</v>
      </c>
      <c r="DC50">
        <v>37</v>
      </c>
      <c r="DD50" t="s">
        <v>887</v>
      </c>
      <c r="DE50" t="s">
        <v>0</v>
      </c>
      <c r="DF50">
        <f t="shared" si="0"/>
        <v>147.364</v>
      </c>
      <c r="DG50">
        <v>48</v>
      </c>
      <c r="DH50">
        <f t="shared" si="1"/>
        <v>147.33000000000007</v>
      </c>
    </row>
    <row r="51" spans="1:112" hidden="1" x14ac:dyDescent="0.35">
      <c r="A51">
        <v>1004600735</v>
      </c>
      <c r="D51" t="s">
        <v>100</v>
      </c>
      <c r="E51" t="s">
        <v>99</v>
      </c>
      <c r="F51" t="s">
        <v>104</v>
      </c>
      <c r="G51" t="s">
        <v>103</v>
      </c>
      <c r="J51">
        <v>356561989</v>
      </c>
      <c r="AL51">
        <v>4600735</v>
      </c>
      <c r="AX51">
        <v>11</v>
      </c>
      <c r="AY51">
        <v>665024</v>
      </c>
      <c r="AZ51">
        <v>5502155</v>
      </c>
      <c r="BA51">
        <v>1468.27379027302</v>
      </c>
      <c r="BB51" t="s">
        <v>451</v>
      </c>
      <c r="BC51" t="s">
        <v>1313</v>
      </c>
      <c r="BD51" t="s">
        <v>94</v>
      </c>
      <c r="BE51" t="s">
        <v>1312</v>
      </c>
      <c r="BF51" t="s">
        <v>899</v>
      </c>
      <c r="BG51">
        <v>3</v>
      </c>
      <c r="BH51" t="s">
        <v>1317</v>
      </c>
      <c r="BI51">
        <v>13</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1.53511873592479</v>
      </c>
      <c r="CL51">
        <v>7.8350407462307503</v>
      </c>
      <c r="CM51">
        <v>0.18</v>
      </c>
      <c r="CN51">
        <v>0.18</v>
      </c>
      <c r="CO51">
        <v>1.54</v>
      </c>
      <c r="CP51">
        <v>0.18</v>
      </c>
      <c r="CQ51">
        <v>7.84</v>
      </c>
      <c r="CR51">
        <v>0.18</v>
      </c>
      <c r="CS51">
        <v>7.84</v>
      </c>
      <c r="CT51">
        <v>0.18</v>
      </c>
      <c r="CU51">
        <v>233262</v>
      </c>
      <c r="CV51">
        <v>1.86</v>
      </c>
      <c r="CW51">
        <v>5</v>
      </c>
      <c r="CX51">
        <v>0.372</v>
      </c>
      <c r="CZ51">
        <v>64</v>
      </c>
      <c r="DA51">
        <v>77</v>
      </c>
      <c r="DB51">
        <v>6</v>
      </c>
      <c r="DC51">
        <v>37</v>
      </c>
      <c r="DD51" t="s">
        <v>887</v>
      </c>
      <c r="DE51" t="s">
        <v>0</v>
      </c>
      <c r="DF51">
        <f t="shared" si="0"/>
        <v>147.73600000000002</v>
      </c>
      <c r="DG51">
        <v>49</v>
      </c>
      <c r="DH51">
        <f t="shared" si="1"/>
        <v>147.51000000000008</v>
      </c>
    </row>
    <row r="52" spans="1:112" hidden="1" x14ac:dyDescent="0.35">
      <c r="A52">
        <v>1004606815</v>
      </c>
      <c r="D52" t="s">
        <v>100</v>
      </c>
      <c r="E52" t="s">
        <v>180</v>
      </c>
      <c r="F52" t="s">
        <v>104</v>
      </c>
      <c r="G52" t="s">
        <v>103</v>
      </c>
      <c r="I52" t="s">
        <v>7</v>
      </c>
      <c r="J52">
        <v>356561989</v>
      </c>
      <c r="AL52">
        <v>4606815</v>
      </c>
      <c r="AX52">
        <v>11</v>
      </c>
      <c r="AY52">
        <v>665157</v>
      </c>
      <c r="AZ52">
        <v>5502201</v>
      </c>
      <c r="BA52">
        <v>1648.0794047970501</v>
      </c>
      <c r="BB52" t="s">
        <v>451</v>
      </c>
      <c r="BC52" t="s">
        <v>1313</v>
      </c>
      <c r="BD52" t="s">
        <v>94</v>
      </c>
      <c r="BE52" t="s">
        <v>1312</v>
      </c>
      <c r="BF52" t="s">
        <v>1316</v>
      </c>
      <c r="BG52">
        <v>4</v>
      </c>
      <c r="BH52" t="s">
        <v>1315</v>
      </c>
      <c r="BI52">
        <v>12</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1.35511873592489</v>
      </c>
      <c r="CL52">
        <v>7.6550407462308501</v>
      </c>
      <c r="CM52">
        <v>7.0000000000000007E-2</v>
      </c>
      <c r="CN52">
        <v>7.0000000000000007E-2</v>
      </c>
      <c r="CO52">
        <v>1.36</v>
      </c>
      <c r="CP52">
        <v>0.08</v>
      </c>
      <c r="CQ52">
        <v>7.66</v>
      </c>
      <c r="CR52">
        <v>0.08</v>
      </c>
      <c r="CS52">
        <v>7.66</v>
      </c>
      <c r="CT52">
        <v>0.08</v>
      </c>
      <c r="CU52">
        <v>233262</v>
      </c>
      <c r="CV52">
        <v>1.86</v>
      </c>
      <c r="CW52">
        <v>5</v>
      </c>
      <c r="CX52">
        <v>0.372</v>
      </c>
      <c r="CZ52">
        <v>64</v>
      </c>
      <c r="DA52">
        <v>77</v>
      </c>
      <c r="DB52">
        <v>6</v>
      </c>
      <c r="DC52">
        <v>37</v>
      </c>
      <c r="DD52" t="s">
        <v>887</v>
      </c>
      <c r="DE52" t="s">
        <v>0</v>
      </c>
      <c r="DF52">
        <f t="shared" si="0"/>
        <v>148.10800000000003</v>
      </c>
      <c r="DG52">
        <v>50</v>
      </c>
      <c r="DH52">
        <f t="shared" si="1"/>
        <v>147.59000000000009</v>
      </c>
    </row>
    <row r="53" spans="1:112" hidden="1" x14ac:dyDescent="0.35">
      <c r="A53">
        <v>1004600126</v>
      </c>
      <c r="D53" t="s">
        <v>100</v>
      </c>
      <c r="E53" t="s">
        <v>120</v>
      </c>
      <c r="F53" t="s">
        <v>104</v>
      </c>
      <c r="G53" t="s">
        <v>103</v>
      </c>
      <c r="H53" t="s">
        <v>1314</v>
      </c>
      <c r="J53">
        <v>356561989</v>
      </c>
      <c r="AL53">
        <v>4600126</v>
      </c>
      <c r="AX53">
        <v>11</v>
      </c>
      <c r="AY53">
        <v>665182</v>
      </c>
      <c r="AZ53">
        <v>5502232</v>
      </c>
      <c r="BA53">
        <v>1718.60637340944</v>
      </c>
      <c r="BB53" t="s">
        <v>451</v>
      </c>
      <c r="BC53" t="s">
        <v>1313</v>
      </c>
      <c r="BD53" t="s">
        <v>94</v>
      </c>
      <c r="BE53" t="s">
        <v>1312</v>
      </c>
      <c r="BF53" t="s">
        <v>1311</v>
      </c>
      <c r="BG53">
        <v>5</v>
      </c>
      <c r="BH53" t="s">
        <v>1310</v>
      </c>
      <c r="BI53">
        <v>11</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1.28411873592488</v>
      </c>
      <c r="CL53">
        <v>7.5840407462308503</v>
      </c>
      <c r="CM53">
        <v>0.87</v>
      </c>
      <c r="CN53">
        <v>0.89</v>
      </c>
      <c r="CO53">
        <v>1.28</v>
      </c>
      <c r="CP53">
        <v>0.86</v>
      </c>
      <c r="CQ53">
        <v>7.58</v>
      </c>
      <c r="CR53">
        <v>0.89</v>
      </c>
      <c r="CS53">
        <v>7.58</v>
      </c>
      <c r="CT53">
        <v>0.89</v>
      </c>
      <c r="CU53">
        <v>233262</v>
      </c>
      <c r="CV53">
        <v>1.86</v>
      </c>
      <c r="CW53">
        <v>5</v>
      </c>
      <c r="CX53">
        <v>0.372</v>
      </c>
      <c r="CZ53">
        <v>64</v>
      </c>
      <c r="DA53">
        <v>77</v>
      </c>
      <c r="DB53">
        <v>6</v>
      </c>
      <c r="DC53">
        <v>37</v>
      </c>
      <c r="DD53" t="s">
        <v>887</v>
      </c>
      <c r="DE53" t="s">
        <v>0</v>
      </c>
      <c r="DF53">
        <f t="shared" si="0"/>
        <v>148.48000000000005</v>
      </c>
      <c r="DG53">
        <v>51</v>
      </c>
      <c r="DH53">
        <f t="shared" si="1"/>
        <v>148.48000000000008</v>
      </c>
    </row>
    <row r="54" spans="1:112" hidden="1" x14ac:dyDescent="0.35">
      <c r="A54">
        <v>1024734829</v>
      </c>
      <c r="D54" t="s">
        <v>100</v>
      </c>
      <c r="E54" t="s">
        <v>99</v>
      </c>
      <c r="F54" t="s">
        <v>104</v>
      </c>
      <c r="G54" t="s">
        <v>103</v>
      </c>
      <c r="J54">
        <v>356548789</v>
      </c>
      <c r="AL54">
        <v>24734829</v>
      </c>
      <c r="AX54">
        <v>11</v>
      </c>
      <c r="AY54">
        <v>652275</v>
      </c>
      <c r="AZ54">
        <v>5520717</v>
      </c>
      <c r="BA54">
        <v>0.178964430644145</v>
      </c>
      <c r="BB54" t="s">
        <v>134</v>
      </c>
      <c r="BC54" t="s">
        <v>134</v>
      </c>
      <c r="BD54" t="s">
        <v>94</v>
      </c>
      <c r="BE54" t="s">
        <v>133</v>
      </c>
      <c r="BF54" t="s">
        <v>263</v>
      </c>
      <c r="BG54">
        <v>3</v>
      </c>
      <c r="BH54" t="s">
        <v>1309</v>
      </c>
      <c r="BI54">
        <v>2</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0.55655679765667698</v>
      </c>
      <c r="CL54">
        <v>1.93499873807029</v>
      </c>
      <c r="CM54">
        <v>0.56000000000000005</v>
      </c>
      <c r="CN54">
        <v>1.04</v>
      </c>
      <c r="CO54">
        <v>0.56000000000000005</v>
      </c>
      <c r="CP54">
        <v>0.56000000000000005</v>
      </c>
      <c r="CQ54">
        <v>1.93</v>
      </c>
      <c r="CR54">
        <v>1.03</v>
      </c>
      <c r="CS54">
        <v>1.93</v>
      </c>
      <c r="CT54">
        <v>1.03</v>
      </c>
      <c r="CU54">
        <v>342262</v>
      </c>
      <c r="CV54">
        <v>1.03</v>
      </c>
      <c r="CW54">
        <v>1</v>
      </c>
      <c r="CX54">
        <v>1.03</v>
      </c>
      <c r="CY54" t="s">
        <v>1308</v>
      </c>
      <c r="CZ54">
        <v>32</v>
      </c>
      <c r="DA54">
        <v>55</v>
      </c>
      <c r="DB54">
        <v>29</v>
      </c>
      <c r="DC54">
        <v>38</v>
      </c>
      <c r="DD54" t="s">
        <v>887</v>
      </c>
      <c r="DE54" t="s">
        <v>0</v>
      </c>
      <c r="DF54">
        <f t="shared" si="0"/>
        <v>149.51000000000005</v>
      </c>
      <c r="DG54">
        <v>52</v>
      </c>
      <c r="DH54">
        <f t="shared" si="1"/>
        <v>149.51000000000008</v>
      </c>
    </row>
    <row r="55" spans="1:112" hidden="1" x14ac:dyDescent="0.35">
      <c r="A55">
        <v>1004604481</v>
      </c>
      <c r="D55" t="s">
        <v>100</v>
      </c>
      <c r="E55" t="s">
        <v>99</v>
      </c>
      <c r="F55" t="s">
        <v>104</v>
      </c>
      <c r="G55" t="s">
        <v>103</v>
      </c>
      <c r="J55">
        <v>356563871</v>
      </c>
      <c r="AL55">
        <v>4604481</v>
      </c>
      <c r="AX55">
        <v>11</v>
      </c>
      <c r="AY55">
        <v>659936</v>
      </c>
      <c r="AZ55">
        <v>5531797</v>
      </c>
      <c r="BA55">
        <v>8541.6322922275504</v>
      </c>
      <c r="BB55" t="s">
        <v>96</v>
      </c>
      <c r="BC55" t="s">
        <v>559</v>
      </c>
      <c r="BD55" t="s">
        <v>94</v>
      </c>
      <c r="BE55" t="s">
        <v>93</v>
      </c>
      <c r="BF55" t="s">
        <v>449</v>
      </c>
      <c r="BG55">
        <v>1</v>
      </c>
      <c r="BH55" t="s">
        <v>1307</v>
      </c>
      <c r="BI55">
        <v>14</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5.0180827659352802</v>
      </c>
      <c r="CL55">
        <v>7.2977706648128704</v>
      </c>
      <c r="CM55">
        <v>0.06</v>
      </c>
      <c r="CN55">
        <v>0.06</v>
      </c>
      <c r="CO55">
        <v>5.0199999999999996</v>
      </c>
      <c r="CP55">
        <v>7.0000000000000007E-2</v>
      </c>
      <c r="CQ55">
        <v>7.3</v>
      </c>
      <c r="CR55">
        <v>7.0000000000000007E-2</v>
      </c>
      <c r="CS55">
        <v>7.3</v>
      </c>
      <c r="CT55">
        <v>7.0000000000000007E-2</v>
      </c>
      <c r="CU55">
        <v>218002</v>
      </c>
      <c r="CV55">
        <v>1.1000000000000001</v>
      </c>
      <c r="CW55">
        <v>3</v>
      </c>
      <c r="CX55">
        <v>0.36666666666666697</v>
      </c>
      <c r="CZ55">
        <v>66</v>
      </c>
      <c r="DA55">
        <v>78</v>
      </c>
      <c r="DB55">
        <v>8</v>
      </c>
      <c r="DC55">
        <v>39</v>
      </c>
      <c r="DD55" t="s">
        <v>887</v>
      </c>
      <c r="DE55" t="s">
        <v>0</v>
      </c>
      <c r="DF55">
        <f t="shared" si="0"/>
        <v>149.87666666666672</v>
      </c>
      <c r="DG55">
        <v>53</v>
      </c>
      <c r="DH55">
        <f t="shared" si="1"/>
        <v>149.58000000000007</v>
      </c>
    </row>
    <row r="56" spans="1:112" hidden="1" x14ac:dyDescent="0.35">
      <c r="A56">
        <v>1004605629</v>
      </c>
      <c r="D56" t="s">
        <v>100</v>
      </c>
      <c r="E56" t="s">
        <v>99</v>
      </c>
      <c r="F56" t="s">
        <v>104</v>
      </c>
      <c r="G56" t="s">
        <v>103</v>
      </c>
      <c r="J56">
        <v>356563871</v>
      </c>
      <c r="AL56">
        <v>4605629</v>
      </c>
      <c r="AX56">
        <v>11</v>
      </c>
      <c r="AY56">
        <v>661908</v>
      </c>
      <c r="AZ56">
        <v>5538349</v>
      </c>
      <c r="BA56">
        <v>16487.100159963898</v>
      </c>
      <c r="BB56" t="s">
        <v>96</v>
      </c>
      <c r="BC56" t="s">
        <v>1227</v>
      </c>
      <c r="BD56" t="s">
        <v>94</v>
      </c>
      <c r="BE56" t="s">
        <v>93</v>
      </c>
      <c r="BF56" t="s">
        <v>92</v>
      </c>
      <c r="BG56">
        <v>9</v>
      </c>
      <c r="BH56">
        <v>1004607598</v>
      </c>
      <c r="BI56">
        <v>1</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1.03481072188085</v>
      </c>
      <c r="CM56">
        <v>0</v>
      </c>
      <c r="CN56">
        <v>0.04</v>
      </c>
      <c r="CO56">
        <v>0</v>
      </c>
      <c r="CP56">
        <v>0</v>
      </c>
      <c r="CQ56">
        <v>1.03</v>
      </c>
      <c r="CR56">
        <v>0.04</v>
      </c>
      <c r="CS56">
        <v>1.03</v>
      </c>
      <c r="CT56">
        <v>0.04</v>
      </c>
      <c r="CU56">
        <v>218002</v>
      </c>
      <c r="CV56">
        <v>1.1000000000000001</v>
      </c>
      <c r="CW56">
        <v>3</v>
      </c>
      <c r="CX56">
        <v>0.36666666666666697</v>
      </c>
      <c r="CZ56">
        <v>66</v>
      </c>
      <c r="DA56">
        <v>78</v>
      </c>
      <c r="DB56">
        <v>8</v>
      </c>
      <c r="DC56">
        <v>39</v>
      </c>
      <c r="DD56" t="s">
        <v>887</v>
      </c>
      <c r="DE56" t="s">
        <v>0</v>
      </c>
      <c r="DF56">
        <f t="shared" si="0"/>
        <v>150.2433333333334</v>
      </c>
      <c r="DG56">
        <v>54</v>
      </c>
      <c r="DH56">
        <f t="shared" si="1"/>
        <v>149.62000000000006</v>
      </c>
    </row>
    <row r="57" spans="1:112" hidden="1" x14ac:dyDescent="0.35">
      <c r="A57">
        <v>1004607598</v>
      </c>
      <c r="D57" t="s">
        <v>100</v>
      </c>
      <c r="E57" t="s">
        <v>99</v>
      </c>
      <c r="F57" t="s">
        <v>104</v>
      </c>
      <c r="G57" t="s">
        <v>103</v>
      </c>
      <c r="J57">
        <v>356563871</v>
      </c>
      <c r="AL57">
        <v>4607598</v>
      </c>
      <c r="AX57">
        <v>11</v>
      </c>
      <c r="AY57">
        <v>661922</v>
      </c>
      <c r="AZ57">
        <v>5538389</v>
      </c>
      <c r="BA57">
        <v>16531.133866871402</v>
      </c>
      <c r="BB57" t="s">
        <v>96</v>
      </c>
      <c r="BC57" t="s">
        <v>1306</v>
      </c>
      <c r="BD57" t="s">
        <v>94</v>
      </c>
      <c r="BE57" t="s">
        <v>93</v>
      </c>
      <c r="BF57" t="s">
        <v>1305</v>
      </c>
      <c r="BG57">
        <v>10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0.99081019584992303</v>
      </c>
      <c r="CM57">
        <v>0</v>
      </c>
      <c r="CN57">
        <v>0.99</v>
      </c>
      <c r="CO57">
        <v>0</v>
      </c>
      <c r="CP57">
        <v>0</v>
      </c>
      <c r="CQ57">
        <v>0.99</v>
      </c>
      <c r="CR57">
        <v>0.99</v>
      </c>
      <c r="CS57">
        <v>0.99</v>
      </c>
      <c r="CT57">
        <v>0.99</v>
      </c>
      <c r="CU57">
        <v>218002</v>
      </c>
      <c r="CV57">
        <v>1.1000000000000001</v>
      </c>
      <c r="CW57">
        <v>3</v>
      </c>
      <c r="CX57">
        <v>0.36666666666666697</v>
      </c>
      <c r="CZ57">
        <v>66</v>
      </c>
      <c r="DA57">
        <v>78</v>
      </c>
      <c r="DB57">
        <v>8</v>
      </c>
      <c r="DC57">
        <v>39</v>
      </c>
      <c r="DD57" t="s">
        <v>887</v>
      </c>
      <c r="DE57" t="s">
        <v>0</v>
      </c>
      <c r="DF57">
        <f t="shared" si="0"/>
        <v>150.61000000000007</v>
      </c>
      <c r="DG57">
        <v>55</v>
      </c>
      <c r="DH57">
        <f t="shared" si="1"/>
        <v>150.61000000000007</v>
      </c>
    </row>
    <row r="58" spans="1:112" hidden="1" x14ac:dyDescent="0.35">
      <c r="A58">
        <v>1004600434</v>
      </c>
      <c r="D58" t="s">
        <v>100</v>
      </c>
      <c r="E58" t="s">
        <v>99</v>
      </c>
      <c r="F58" t="s">
        <v>104</v>
      </c>
      <c r="G58" t="s">
        <v>103</v>
      </c>
      <c r="J58">
        <v>356553447</v>
      </c>
      <c r="AL58">
        <v>4600434</v>
      </c>
      <c r="AX58">
        <v>11</v>
      </c>
      <c r="AY58">
        <v>668526</v>
      </c>
      <c r="AZ58">
        <v>5488991</v>
      </c>
      <c r="BA58">
        <v>139.87461559459399</v>
      </c>
      <c r="BB58" t="s">
        <v>1304</v>
      </c>
      <c r="BC58" t="s">
        <v>1304</v>
      </c>
      <c r="BD58" t="s">
        <v>94</v>
      </c>
      <c r="BF58" t="s">
        <v>449</v>
      </c>
      <c r="BG58">
        <v>1</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0.82700000000005403</v>
      </c>
      <c r="CM58">
        <v>0</v>
      </c>
      <c r="CN58">
        <v>0.83</v>
      </c>
      <c r="CO58">
        <v>0</v>
      </c>
      <c r="CP58">
        <v>0</v>
      </c>
      <c r="CQ58">
        <v>0.83</v>
      </c>
      <c r="CR58">
        <v>0.83</v>
      </c>
      <c r="CS58">
        <v>0.83</v>
      </c>
      <c r="CT58">
        <v>0.83</v>
      </c>
      <c r="CU58">
        <v>87202</v>
      </c>
      <c r="CV58">
        <v>0.83</v>
      </c>
      <c r="CW58">
        <v>1</v>
      </c>
      <c r="CX58">
        <v>0.83</v>
      </c>
      <c r="CZ58">
        <v>38</v>
      </c>
      <c r="DA58">
        <v>29</v>
      </c>
      <c r="DB58">
        <v>62</v>
      </c>
      <c r="DC58">
        <v>40</v>
      </c>
      <c r="DD58" t="s">
        <v>887</v>
      </c>
      <c r="DE58" t="s">
        <v>0</v>
      </c>
      <c r="DF58">
        <f t="shared" si="0"/>
        <v>151.44000000000008</v>
      </c>
      <c r="DG58">
        <v>56</v>
      </c>
      <c r="DH58">
        <f t="shared" si="1"/>
        <v>151.44000000000008</v>
      </c>
    </row>
    <row r="59" spans="1:112" hidden="1" x14ac:dyDescent="0.35">
      <c r="A59">
        <v>1004600326</v>
      </c>
      <c r="D59" t="s">
        <v>100</v>
      </c>
      <c r="E59" t="s">
        <v>120</v>
      </c>
      <c r="F59" t="s">
        <v>104</v>
      </c>
      <c r="G59" t="s">
        <v>103</v>
      </c>
      <c r="H59" t="s">
        <v>584</v>
      </c>
      <c r="J59">
        <v>356551142</v>
      </c>
      <c r="AL59">
        <v>4600326</v>
      </c>
      <c r="AX59">
        <v>11</v>
      </c>
      <c r="AY59">
        <v>652410</v>
      </c>
      <c r="AZ59">
        <v>5519247</v>
      </c>
      <c r="BA59">
        <v>1043.80591266025</v>
      </c>
      <c r="BB59" t="s">
        <v>265</v>
      </c>
      <c r="BC59" t="s">
        <v>1303</v>
      </c>
      <c r="BD59" t="s">
        <v>94</v>
      </c>
      <c r="BE59" t="s">
        <v>264</v>
      </c>
      <c r="BF59" t="s">
        <v>449</v>
      </c>
      <c r="BG59">
        <v>1</v>
      </c>
      <c r="BH59" t="s">
        <v>1302</v>
      </c>
      <c r="BI59">
        <v>4</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1.2984947484998199</v>
      </c>
      <c r="CL59">
        <v>2.6769366889134298</v>
      </c>
      <c r="CM59">
        <v>0.43</v>
      </c>
      <c r="CN59">
        <v>0.43</v>
      </c>
      <c r="CO59">
        <v>1.3</v>
      </c>
      <c r="CP59">
        <v>0.43</v>
      </c>
      <c r="CQ59">
        <v>2.68</v>
      </c>
      <c r="CR59">
        <v>0.43</v>
      </c>
      <c r="CS59">
        <v>2.68</v>
      </c>
      <c r="CT59">
        <v>0.43</v>
      </c>
      <c r="CU59">
        <v>161322</v>
      </c>
      <c r="CV59">
        <v>0.43</v>
      </c>
      <c r="CW59">
        <v>1</v>
      </c>
      <c r="CX59">
        <v>0.43</v>
      </c>
      <c r="CZ59">
        <v>59</v>
      </c>
      <c r="DA59">
        <v>72</v>
      </c>
      <c r="DB59">
        <v>21</v>
      </c>
      <c r="DC59">
        <v>41</v>
      </c>
      <c r="DD59" t="s">
        <v>887</v>
      </c>
      <c r="DE59" t="s">
        <v>0</v>
      </c>
      <c r="DF59">
        <f t="shared" si="0"/>
        <v>151.87000000000009</v>
      </c>
      <c r="DG59">
        <v>57</v>
      </c>
      <c r="DH59">
        <f t="shared" si="1"/>
        <v>151.87000000000009</v>
      </c>
    </row>
    <row r="60" spans="1:112" hidden="1" x14ac:dyDescent="0.35">
      <c r="A60">
        <v>1004600132</v>
      </c>
      <c r="D60" t="s">
        <v>100</v>
      </c>
      <c r="E60" t="s">
        <v>120</v>
      </c>
      <c r="F60" t="s">
        <v>104</v>
      </c>
      <c r="G60" t="s">
        <v>103</v>
      </c>
      <c r="H60" t="s">
        <v>525</v>
      </c>
      <c r="J60">
        <v>356391328</v>
      </c>
      <c r="AL60">
        <v>4600132</v>
      </c>
      <c r="AX60">
        <v>11</v>
      </c>
      <c r="AY60">
        <v>665204</v>
      </c>
      <c r="AZ60">
        <v>5502257</v>
      </c>
      <c r="BA60">
        <v>23.4714318909725</v>
      </c>
      <c r="BB60" t="s">
        <v>1301</v>
      </c>
      <c r="BC60" t="s">
        <v>1301</v>
      </c>
      <c r="BD60" t="s">
        <v>94</v>
      </c>
      <c r="BF60" t="s">
        <v>1088</v>
      </c>
      <c r="BG60">
        <v>6</v>
      </c>
      <c r="BH60">
        <v>1004600758</v>
      </c>
      <c r="BI60">
        <v>1</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1.6808133357374799</v>
      </c>
      <c r="CM60">
        <v>0</v>
      </c>
      <c r="CN60">
        <v>0.38</v>
      </c>
      <c r="CO60">
        <v>0</v>
      </c>
      <c r="CP60">
        <v>0</v>
      </c>
      <c r="CQ60">
        <v>1.68</v>
      </c>
      <c r="CR60">
        <v>0.38</v>
      </c>
      <c r="CS60">
        <v>1.68</v>
      </c>
      <c r="CT60">
        <v>0.38</v>
      </c>
      <c r="CU60">
        <v>43602</v>
      </c>
      <c r="CV60">
        <v>1.68</v>
      </c>
      <c r="CW60">
        <v>2</v>
      </c>
      <c r="CX60">
        <v>0.84</v>
      </c>
      <c r="CY60" t="s">
        <v>898</v>
      </c>
      <c r="CZ60">
        <v>37</v>
      </c>
      <c r="DA60">
        <v>60</v>
      </c>
      <c r="DB60">
        <v>35</v>
      </c>
      <c r="DC60">
        <v>42</v>
      </c>
      <c r="DD60" t="s">
        <v>887</v>
      </c>
      <c r="DE60" t="s">
        <v>0</v>
      </c>
      <c r="DF60">
        <f t="shared" si="0"/>
        <v>152.71000000000009</v>
      </c>
      <c r="DG60">
        <v>58</v>
      </c>
      <c r="DH60">
        <f t="shared" si="1"/>
        <v>152.25000000000009</v>
      </c>
    </row>
    <row r="61" spans="1:112" hidden="1" x14ac:dyDescent="0.35">
      <c r="A61">
        <v>1004600758</v>
      </c>
      <c r="D61" t="s">
        <v>100</v>
      </c>
      <c r="E61" t="s">
        <v>99</v>
      </c>
      <c r="F61" t="s">
        <v>104</v>
      </c>
      <c r="G61" t="s">
        <v>103</v>
      </c>
      <c r="J61">
        <v>356391328</v>
      </c>
      <c r="AL61">
        <v>4600758</v>
      </c>
      <c r="AX61">
        <v>11</v>
      </c>
      <c r="AY61">
        <v>665176</v>
      </c>
      <c r="AZ61">
        <v>5502561</v>
      </c>
      <c r="BA61">
        <v>400.26998268734502</v>
      </c>
      <c r="BB61" t="s">
        <v>1301</v>
      </c>
      <c r="BC61" t="s">
        <v>1301</v>
      </c>
      <c r="BD61" t="s">
        <v>94</v>
      </c>
      <c r="BF61" t="s">
        <v>1300</v>
      </c>
      <c r="BG61">
        <v>7</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1.3038133357374899</v>
      </c>
      <c r="CM61">
        <v>0</v>
      </c>
      <c r="CN61">
        <v>1.3038133357374899</v>
      </c>
      <c r="CO61">
        <v>0</v>
      </c>
      <c r="CP61">
        <v>0</v>
      </c>
      <c r="CQ61">
        <v>1.3</v>
      </c>
      <c r="CR61">
        <v>1.3</v>
      </c>
      <c r="CS61">
        <v>1.3</v>
      </c>
      <c r="CT61">
        <v>1.3</v>
      </c>
      <c r="CU61">
        <v>43602</v>
      </c>
      <c r="CV61">
        <v>1.68</v>
      </c>
      <c r="CW61">
        <v>2</v>
      </c>
      <c r="CX61">
        <v>0.84</v>
      </c>
      <c r="CY61" t="s">
        <v>898</v>
      </c>
      <c r="CZ61">
        <v>37</v>
      </c>
      <c r="DA61">
        <v>60</v>
      </c>
      <c r="DB61">
        <v>35</v>
      </c>
      <c r="DC61">
        <v>42</v>
      </c>
      <c r="DD61" t="s">
        <v>887</v>
      </c>
      <c r="DE61" t="s">
        <v>0</v>
      </c>
      <c r="DF61">
        <f t="shared" si="0"/>
        <v>153.5500000000001</v>
      </c>
      <c r="DG61">
        <v>59</v>
      </c>
      <c r="DH61">
        <f t="shared" si="1"/>
        <v>153.5500000000001</v>
      </c>
    </row>
    <row r="62" spans="1:112" hidden="1" x14ac:dyDescent="0.35">
      <c r="A62">
        <v>1004601393</v>
      </c>
      <c r="D62" t="s">
        <v>100</v>
      </c>
      <c r="E62" t="s">
        <v>99</v>
      </c>
      <c r="F62" t="s">
        <v>104</v>
      </c>
      <c r="G62" t="s">
        <v>103</v>
      </c>
      <c r="J62">
        <v>356538950</v>
      </c>
      <c r="AL62">
        <v>4601393</v>
      </c>
      <c r="AX62">
        <v>11</v>
      </c>
      <c r="AY62">
        <v>667263</v>
      </c>
      <c r="AZ62">
        <v>5501902</v>
      </c>
      <c r="BA62">
        <v>1270.00035322504</v>
      </c>
      <c r="BB62" t="s">
        <v>1077</v>
      </c>
      <c r="BC62" t="s">
        <v>1077</v>
      </c>
      <c r="BD62" t="s">
        <v>94</v>
      </c>
      <c r="BF62" t="s">
        <v>1299</v>
      </c>
      <c r="BG62">
        <v>11</v>
      </c>
      <c r="BH62">
        <v>1004602454</v>
      </c>
      <c r="BI62">
        <v>1</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1.6956667036098201</v>
      </c>
      <c r="CM62">
        <v>0</v>
      </c>
      <c r="CN62">
        <v>0.06</v>
      </c>
      <c r="CO62">
        <v>0</v>
      </c>
      <c r="CP62">
        <v>0</v>
      </c>
      <c r="CQ62">
        <v>1.7</v>
      </c>
      <c r="CR62">
        <v>0.06</v>
      </c>
      <c r="CS62">
        <v>1.7</v>
      </c>
      <c r="CT62">
        <v>0.06</v>
      </c>
      <c r="CU62">
        <v>165683</v>
      </c>
      <c r="CV62">
        <v>1.7</v>
      </c>
      <c r="CW62">
        <v>2</v>
      </c>
      <c r="CX62">
        <v>0.85</v>
      </c>
      <c r="CY62" t="s">
        <v>1297</v>
      </c>
      <c r="CZ62">
        <v>36</v>
      </c>
      <c r="DA62">
        <v>64</v>
      </c>
      <c r="DB62">
        <v>33</v>
      </c>
      <c r="DC62">
        <v>43</v>
      </c>
      <c r="DD62" t="s">
        <v>887</v>
      </c>
      <c r="DE62" t="s">
        <v>0</v>
      </c>
      <c r="DF62">
        <f t="shared" si="0"/>
        <v>154.40000000000009</v>
      </c>
      <c r="DG62">
        <v>60</v>
      </c>
      <c r="DH62">
        <f t="shared" si="1"/>
        <v>153.6100000000001</v>
      </c>
    </row>
    <row r="63" spans="1:112" hidden="1" x14ac:dyDescent="0.35">
      <c r="A63">
        <v>1004602454</v>
      </c>
      <c r="D63" t="s">
        <v>100</v>
      </c>
      <c r="E63" t="s">
        <v>99</v>
      </c>
      <c r="F63" t="s">
        <v>104</v>
      </c>
      <c r="G63" t="s">
        <v>103</v>
      </c>
      <c r="J63">
        <v>356538950</v>
      </c>
      <c r="AL63">
        <v>4602454</v>
      </c>
      <c r="AX63">
        <v>11</v>
      </c>
      <c r="AY63">
        <v>667309</v>
      </c>
      <c r="AZ63">
        <v>5501937</v>
      </c>
      <c r="BA63">
        <v>1329.0369520659201</v>
      </c>
      <c r="BB63" t="s">
        <v>1077</v>
      </c>
      <c r="BC63" t="s">
        <v>1077</v>
      </c>
      <c r="BD63" t="s">
        <v>94</v>
      </c>
      <c r="BF63" t="s">
        <v>1298</v>
      </c>
      <c r="BG63">
        <v>12</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1.6366667036098399</v>
      </c>
      <c r="CM63">
        <v>0</v>
      </c>
      <c r="CN63">
        <v>1.64</v>
      </c>
      <c r="CO63">
        <v>0</v>
      </c>
      <c r="CP63">
        <v>0</v>
      </c>
      <c r="CQ63">
        <v>1.64</v>
      </c>
      <c r="CR63">
        <v>1.64</v>
      </c>
      <c r="CS63">
        <v>1.64</v>
      </c>
      <c r="CT63">
        <v>1.64</v>
      </c>
      <c r="CU63">
        <v>165683</v>
      </c>
      <c r="CV63">
        <v>1.7</v>
      </c>
      <c r="CW63">
        <v>2</v>
      </c>
      <c r="CX63">
        <v>0.85</v>
      </c>
      <c r="CY63" t="s">
        <v>1297</v>
      </c>
      <c r="CZ63">
        <v>36</v>
      </c>
      <c r="DA63">
        <v>64</v>
      </c>
      <c r="DB63">
        <v>33</v>
      </c>
      <c r="DC63">
        <v>43</v>
      </c>
      <c r="DD63" t="s">
        <v>887</v>
      </c>
      <c r="DE63" t="s">
        <v>0</v>
      </c>
      <c r="DF63">
        <f t="shared" si="0"/>
        <v>155.25000000000009</v>
      </c>
      <c r="DG63">
        <v>61</v>
      </c>
      <c r="DH63">
        <f t="shared" si="1"/>
        <v>155.25000000000009</v>
      </c>
    </row>
    <row r="64" spans="1:112" s="5" customFormat="1" hidden="1" x14ac:dyDescent="0.35">
      <c r="A64" s="5">
        <v>1004606751</v>
      </c>
      <c r="B64" s="5">
        <v>1004606751</v>
      </c>
      <c r="D64" s="5" t="s">
        <v>100</v>
      </c>
      <c r="E64" s="5" t="s">
        <v>180</v>
      </c>
      <c r="F64" s="5" t="s">
        <v>104</v>
      </c>
      <c r="G64" s="5" t="s">
        <v>103</v>
      </c>
      <c r="I64" s="5" t="s">
        <v>7</v>
      </c>
      <c r="J64" s="5">
        <v>356476818</v>
      </c>
      <c r="K64" s="5" t="s">
        <v>125</v>
      </c>
      <c r="L64" s="5" t="s">
        <v>1025</v>
      </c>
      <c r="M64" s="5" t="s">
        <v>47</v>
      </c>
      <c r="N64" s="5" t="s">
        <v>1025</v>
      </c>
      <c r="P64" s="5" t="s">
        <v>38</v>
      </c>
      <c r="Q64" s="5" t="s">
        <v>17</v>
      </c>
      <c r="AE64" s="5" t="s">
        <v>1296</v>
      </c>
      <c r="AI64" s="5" t="s">
        <v>1295</v>
      </c>
      <c r="AJ64" s="5" t="s">
        <v>1294</v>
      </c>
      <c r="AL64" s="5">
        <v>4606751</v>
      </c>
      <c r="AX64" s="5">
        <v>11</v>
      </c>
      <c r="AY64" s="5">
        <v>652940</v>
      </c>
      <c r="AZ64" s="5">
        <v>5515013</v>
      </c>
      <c r="BA64" s="5">
        <v>248.068974161792</v>
      </c>
      <c r="BB64" s="5" t="s">
        <v>127</v>
      </c>
      <c r="BC64" s="5" t="s">
        <v>1293</v>
      </c>
      <c r="BD64" s="5" t="s">
        <v>94</v>
      </c>
      <c r="BE64" s="5" t="s">
        <v>125</v>
      </c>
      <c r="BF64" s="5" t="s">
        <v>449</v>
      </c>
      <c r="BG64" s="5">
        <v>1</v>
      </c>
      <c r="BM64" s="5">
        <v>0</v>
      </c>
      <c r="BN64" s="5">
        <v>0</v>
      </c>
      <c r="BO64" s="5">
        <v>0</v>
      </c>
      <c r="BP64" s="5">
        <v>0</v>
      </c>
      <c r="BQ64" s="5">
        <v>0</v>
      </c>
      <c r="BR64" s="5">
        <v>0</v>
      </c>
      <c r="BS64" s="5">
        <v>0</v>
      </c>
      <c r="BT64" s="5">
        <v>0</v>
      </c>
      <c r="BU64" s="5">
        <v>0</v>
      </c>
      <c r="BV64" s="5">
        <v>0</v>
      </c>
      <c r="BW64" s="5">
        <v>0</v>
      </c>
      <c r="BX64" s="5">
        <v>0</v>
      </c>
      <c r="BY64" s="5">
        <v>0</v>
      </c>
      <c r="BZ64" s="5">
        <v>0</v>
      </c>
      <c r="CA64" s="5">
        <v>0</v>
      </c>
      <c r="CB64" s="5">
        <v>0</v>
      </c>
      <c r="CC64" s="5">
        <v>0</v>
      </c>
      <c r="CD64" s="5">
        <v>0</v>
      </c>
      <c r="CE64" s="5">
        <v>0</v>
      </c>
      <c r="CF64" s="5">
        <v>0</v>
      </c>
      <c r="CG64" s="5">
        <v>0</v>
      </c>
      <c r="CH64" s="5">
        <v>0</v>
      </c>
      <c r="CI64" s="5">
        <v>0</v>
      </c>
      <c r="CJ64" s="5">
        <v>0</v>
      </c>
      <c r="CK64" s="5">
        <v>0</v>
      </c>
      <c r="CL64" s="5">
        <v>0.70623076495399895</v>
      </c>
      <c r="CM64" s="5">
        <v>0</v>
      </c>
      <c r="CN64" s="5">
        <v>0.71</v>
      </c>
      <c r="CO64" s="5">
        <v>0</v>
      </c>
      <c r="CP64" s="5">
        <v>0</v>
      </c>
      <c r="CQ64" s="5">
        <v>0.71</v>
      </c>
      <c r="CR64" s="5">
        <v>0.71</v>
      </c>
      <c r="CS64" s="5">
        <v>0.71</v>
      </c>
      <c r="CT64" s="5">
        <v>0.71</v>
      </c>
      <c r="CU64" s="5">
        <v>248522</v>
      </c>
      <c r="CV64" s="5">
        <v>0.71</v>
      </c>
      <c r="CW64" s="5">
        <v>1</v>
      </c>
      <c r="CX64" s="5">
        <v>0.71</v>
      </c>
      <c r="CZ64" s="5">
        <v>42</v>
      </c>
      <c r="DA64" s="5">
        <v>32</v>
      </c>
      <c r="DB64" s="5">
        <v>65</v>
      </c>
      <c r="DC64" s="5">
        <v>44</v>
      </c>
      <c r="DD64" s="5" t="s">
        <v>887</v>
      </c>
      <c r="DE64" s="5" t="s">
        <v>0</v>
      </c>
      <c r="DF64" s="5">
        <f t="shared" si="0"/>
        <v>155.96000000000009</v>
      </c>
      <c r="DG64" s="5">
        <v>62</v>
      </c>
      <c r="DH64" s="5">
        <f t="shared" si="1"/>
        <v>155.96000000000009</v>
      </c>
    </row>
    <row r="65" spans="1:112" hidden="1" x14ac:dyDescent="0.35">
      <c r="A65">
        <v>1004600156</v>
      </c>
      <c r="D65" t="s">
        <v>100</v>
      </c>
      <c r="E65" t="s">
        <v>120</v>
      </c>
      <c r="F65" t="s">
        <v>104</v>
      </c>
      <c r="G65" t="s">
        <v>103</v>
      </c>
      <c r="H65" t="s">
        <v>525</v>
      </c>
      <c r="J65">
        <v>356483280</v>
      </c>
      <c r="AL65">
        <v>4600156</v>
      </c>
      <c r="AX65">
        <v>11</v>
      </c>
      <c r="AY65">
        <v>641369</v>
      </c>
      <c r="AZ65">
        <v>5487802</v>
      </c>
      <c r="BA65">
        <v>273.82708521186902</v>
      </c>
      <c r="BB65" t="s">
        <v>1278</v>
      </c>
      <c r="BC65" t="s">
        <v>1278</v>
      </c>
      <c r="BD65" t="s">
        <v>94</v>
      </c>
      <c r="BF65" t="s">
        <v>449</v>
      </c>
      <c r="BG65">
        <v>1</v>
      </c>
      <c r="BH65" t="s">
        <v>1292</v>
      </c>
      <c r="BI65">
        <v>6</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2.6310009574081898</v>
      </c>
      <c r="CM65">
        <v>0</v>
      </c>
      <c r="CN65">
        <v>0.03</v>
      </c>
      <c r="CO65">
        <v>0</v>
      </c>
      <c r="CP65">
        <v>0</v>
      </c>
      <c r="CQ65">
        <v>2.63</v>
      </c>
      <c r="CR65">
        <v>0.02</v>
      </c>
      <c r="CS65">
        <v>2.63</v>
      </c>
      <c r="CT65">
        <v>0.02</v>
      </c>
      <c r="CU65">
        <v>13082</v>
      </c>
      <c r="CV65">
        <v>2.63</v>
      </c>
      <c r="CW65">
        <v>7</v>
      </c>
      <c r="CX65">
        <v>0.375714285714286</v>
      </c>
      <c r="CZ65">
        <v>63</v>
      </c>
      <c r="DA65">
        <v>76</v>
      </c>
      <c r="DB65">
        <v>22</v>
      </c>
      <c r="DC65">
        <v>45</v>
      </c>
      <c r="DD65" t="s">
        <v>887</v>
      </c>
      <c r="DE65" t="s">
        <v>0</v>
      </c>
      <c r="DF65">
        <f t="shared" si="0"/>
        <v>156.33571428571437</v>
      </c>
      <c r="DG65">
        <v>63</v>
      </c>
      <c r="DH65">
        <f t="shared" si="1"/>
        <v>155.9800000000001</v>
      </c>
    </row>
    <row r="66" spans="1:112" hidden="1" x14ac:dyDescent="0.35">
      <c r="A66">
        <v>1004600135</v>
      </c>
      <c r="D66" t="s">
        <v>100</v>
      </c>
      <c r="E66" t="s">
        <v>120</v>
      </c>
      <c r="F66" t="s">
        <v>104</v>
      </c>
      <c r="G66" t="s">
        <v>103</v>
      </c>
      <c r="H66" t="s">
        <v>1291</v>
      </c>
      <c r="J66">
        <v>356483280</v>
      </c>
      <c r="AL66">
        <v>4600135</v>
      </c>
      <c r="AX66">
        <v>11</v>
      </c>
      <c r="AY66">
        <v>641352</v>
      </c>
      <c r="AZ66">
        <v>5487819</v>
      </c>
      <c r="BA66">
        <v>298.61475751459</v>
      </c>
      <c r="BB66" t="s">
        <v>1278</v>
      </c>
      <c r="BC66" t="s">
        <v>1278</v>
      </c>
      <c r="BD66" t="s">
        <v>94</v>
      </c>
      <c r="BF66" t="s">
        <v>1290</v>
      </c>
      <c r="BG66">
        <v>2</v>
      </c>
      <c r="BH66" t="s">
        <v>1289</v>
      </c>
      <c r="BI66">
        <v>5</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2.6060009574081802</v>
      </c>
      <c r="CM66">
        <v>0</v>
      </c>
      <c r="CN66">
        <v>0.3</v>
      </c>
      <c r="CO66">
        <v>0</v>
      </c>
      <c r="CP66">
        <v>0</v>
      </c>
      <c r="CQ66">
        <v>2.61</v>
      </c>
      <c r="CR66">
        <v>0.3</v>
      </c>
      <c r="CS66">
        <v>2.61</v>
      </c>
      <c r="CT66">
        <v>0.3</v>
      </c>
      <c r="CU66">
        <v>13082</v>
      </c>
      <c r="CV66">
        <v>2.63</v>
      </c>
      <c r="CW66">
        <v>7</v>
      </c>
      <c r="CX66">
        <v>0.375714285714286</v>
      </c>
      <c r="CZ66">
        <v>63</v>
      </c>
      <c r="DA66">
        <v>76</v>
      </c>
      <c r="DB66">
        <v>22</v>
      </c>
      <c r="DC66">
        <v>45</v>
      </c>
      <c r="DD66" t="s">
        <v>887</v>
      </c>
      <c r="DE66" t="s">
        <v>0</v>
      </c>
      <c r="DF66">
        <f t="shared" si="0"/>
        <v>156.71142857142866</v>
      </c>
      <c r="DG66">
        <v>64</v>
      </c>
      <c r="DH66">
        <f t="shared" si="1"/>
        <v>156.28000000000011</v>
      </c>
    </row>
    <row r="67" spans="1:112" hidden="1" x14ac:dyDescent="0.35">
      <c r="A67">
        <v>1004600022</v>
      </c>
      <c r="D67" t="s">
        <v>100</v>
      </c>
      <c r="E67" t="s">
        <v>120</v>
      </c>
      <c r="F67" t="s">
        <v>104</v>
      </c>
      <c r="G67" t="s">
        <v>103</v>
      </c>
      <c r="H67" t="s">
        <v>1288</v>
      </c>
      <c r="J67">
        <v>356483280</v>
      </c>
      <c r="AL67">
        <v>4600022</v>
      </c>
      <c r="AX67">
        <v>11</v>
      </c>
      <c r="AY67">
        <v>641214</v>
      </c>
      <c r="AZ67">
        <v>5488031</v>
      </c>
      <c r="BA67">
        <v>595.68182345749403</v>
      </c>
      <c r="BB67" t="s">
        <v>1278</v>
      </c>
      <c r="BC67" t="s">
        <v>1277</v>
      </c>
      <c r="BD67" t="s">
        <v>94</v>
      </c>
      <c r="BF67" t="s">
        <v>1287</v>
      </c>
      <c r="BG67">
        <v>3</v>
      </c>
      <c r="BH67" t="s">
        <v>1286</v>
      </c>
      <c r="BI67">
        <v>4</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2.3089999999999198</v>
      </c>
      <c r="CM67">
        <v>0</v>
      </c>
      <c r="CN67">
        <v>0.19</v>
      </c>
      <c r="CO67">
        <v>0</v>
      </c>
      <c r="CP67">
        <v>0</v>
      </c>
      <c r="CQ67">
        <v>2.31</v>
      </c>
      <c r="CR67">
        <v>0.19</v>
      </c>
      <c r="CS67">
        <v>2.31</v>
      </c>
      <c r="CT67">
        <v>0.19</v>
      </c>
      <c r="CU67">
        <v>13082</v>
      </c>
      <c r="CV67">
        <v>2.63</v>
      </c>
      <c r="CW67">
        <v>7</v>
      </c>
      <c r="CX67">
        <v>0.375714285714286</v>
      </c>
      <c r="CZ67">
        <v>63</v>
      </c>
      <c r="DA67">
        <v>76</v>
      </c>
      <c r="DB67">
        <v>22</v>
      </c>
      <c r="DC67">
        <v>45</v>
      </c>
      <c r="DD67" t="s">
        <v>887</v>
      </c>
      <c r="DE67" t="s">
        <v>0</v>
      </c>
      <c r="DF67">
        <f t="shared" ref="DF67:DF130" si="2">DF66+CX67</f>
        <v>157.08714285714294</v>
      </c>
      <c r="DG67">
        <v>65</v>
      </c>
      <c r="DH67">
        <f t="shared" ref="DH67:DH130" si="3">DH66+CT67</f>
        <v>156.47000000000011</v>
      </c>
    </row>
    <row r="68" spans="1:112" hidden="1" x14ac:dyDescent="0.35">
      <c r="A68">
        <v>1024734259</v>
      </c>
      <c r="D68" t="s">
        <v>100</v>
      </c>
      <c r="E68" t="s">
        <v>120</v>
      </c>
      <c r="F68" t="s">
        <v>104</v>
      </c>
      <c r="G68" t="s">
        <v>103</v>
      </c>
      <c r="H68" t="s">
        <v>584</v>
      </c>
      <c r="J68">
        <v>356483280</v>
      </c>
      <c r="AL68">
        <v>24734259</v>
      </c>
      <c r="AX68">
        <v>11</v>
      </c>
      <c r="AY68">
        <v>641384</v>
      </c>
      <c r="AZ68">
        <v>5488113</v>
      </c>
      <c r="BA68">
        <v>787.07645546087304</v>
      </c>
      <c r="BB68" t="s">
        <v>1278</v>
      </c>
      <c r="BC68" t="s">
        <v>1277</v>
      </c>
      <c r="BD68" t="s">
        <v>94</v>
      </c>
      <c r="BF68" t="s">
        <v>1285</v>
      </c>
      <c r="BG68">
        <v>4</v>
      </c>
      <c r="BH68" t="s">
        <v>1284</v>
      </c>
      <c r="BI68">
        <v>3</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2.1179999999999599</v>
      </c>
      <c r="CM68">
        <v>0</v>
      </c>
      <c r="CN68">
        <v>0.61</v>
      </c>
      <c r="CO68">
        <v>0</v>
      </c>
      <c r="CP68">
        <v>0</v>
      </c>
      <c r="CQ68">
        <v>2.12</v>
      </c>
      <c r="CR68">
        <v>0.61</v>
      </c>
      <c r="CS68">
        <v>2.12</v>
      </c>
      <c r="CT68">
        <v>0.61</v>
      </c>
      <c r="CU68">
        <v>13082</v>
      </c>
      <c r="CV68">
        <v>2.63</v>
      </c>
      <c r="CW68">
        <v>7</v>
      </c>
      <c r="CX68">
        <v>0.375714285714286</v>
      </c>
      <c r="CZ68">
        <v>63</v>
      </c>
      <c r="DA68">
        <v>76</v>
      </c>
      <c r="DB68">
        <v>22</v>
      </c>
      <c r="DC68">
        <v>45</v>
      </c>
      <c r="DD68" t="s">
        <v>887</v>
      </c>
      <c r="DE68" t="s">
        <v>0</v>
      </c>
      <c r="DF68">
        <f t="shared" si="2"/>
        <v>157.46285714285722</v>
      </c>
      <c r="DG68">
        <v>66</v>
      </c>
      <c r="DH68">
        <f t="shared" si="3"/>
        <v>157.08000000000013</v>
      </c>
    </row>
    <row r="69" spans="1:112" hidden="1" x14ac:dyDescent="0.35">
      <c r="A69">
        <v>1004600174</v>
      </c>
      <c r="D69" t="s">
        <v>100</v>
      </c>
      <c r="E69" t="s">
        <v>120</v>
      </c>
      <c r="F69" t="s">
        <v>104</v>
      </c>
      <c r="G69" t="s">
        <v>103</v>
      </c>
      <c r="H69" t="s">
        <v>1283</v>
      </c>
      <c r="J69">
        <v>356483280</v>
      </c>
      <c r="AL69">
        <v>4600174</v>
      </c>
      <c r="AX69">
        <v>11</v>
      </c>
      <c r="AY69">
        <v>641813</v>
      </c>
      <c r="AZ69">
        <v>5488477</v>
      </c>
      <c r="BA69">
        <v>1397.591996824</v>
      </c>
      <c r="BB69" t="s">
        <v>1278</v>
      </c>
      <c r="BC69" t="s">
        <v>1277</v>
      </c>
      <c r="BD69" t="s">
        <v>94</v>
      </c>
      <c r="BF69" t="s">
        <v>1282</v>
      </c>
      <c r="BG69">
        <v>5</v>
      </c>
      <c r="BH69" t="s">
        <v>1281</v>
      </c>
      <c r="BI69">
        <v>2</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1.50699999999988</v>
      </c>
      <c r="CM69">
        <v>0</v>
      </c>
      <c r="CN69">
        <v>0.52</v>
      </c>
      <c r="CO69">
        <v>0</v>
      </c>
      <c r="CP69">
        <v>0</v>
      </c>
      <c r="CQ69">
        <v>1.51</v>
      </c>
      <c r="CR69">
        <v>0.52</v>
      </c>
      <c r="CS69">
        <v>1.51</v>
      </c>
      <c r="CT69">
        <v>0.52</v>
      </c>
      <c r="CU69">
        <v>13082</v>
      </c>
      <c r="CV69">
        <v>2.63</v>
      </c>
      <c r="CW69">
        <v>7</v>
      </c>
      <c r="CX69">
        <v>0.375714285714286</v>
      </c>
      <c r="CZ69">
        <v>63</v>
      </c>
      <c r="DA69">
        <v>76</v>
      </c>
      <c r="DB69">
        <v>22</v>
      </c>
      <c r="DC69">
        <v>45</v>
      </c>
      <c r="DD69" t="s">
        <v>887</v>
      </c>
      <c r="DE69" t="s">
        <v>0</v>
      </c>
      <c r="DF69">
        <f t="shared" si="2"/>
        <v>157.8385714285715</v>
      </c>
      <c r="DG69">
        <v>67</v>
      </c>
      <c r="DH69">
        <f t="shared" si="3"/>
        <v>157.60000000000014</v>
      </c>
    </row>
    <row r="70" spans="1:112" hidden="1" x14ac:dyDescent="0.35">
      <c r="A70">
        <v>1004600025</v>
      </c>
      <c r="D70" t="s">
        <v>100</v>
      </c>
      <c r="E70" t="s">
        <v>120</v>
      </c>
      <c r="F70" t="s">
        <v>104</v>
      </c>
      <c r="G70" t="s">
        <v>103</v>
      </c>
      <c r="H70" t="s">
        <v>1280</v>
      </c>
      <c r="J70">
        <v>356483280</v>
      </c>
      <c r="AL70">
        <v>4600025</v>
      </c>
      <c r="AX70">
        <v>11</v>
      </c>
      <c r="AY70">
        <v>641848</v>
      </c>
      <c r="AZ70">
        <v>5488962</v>
      </c>
      <c r="BA70">
        <v>1914.9780870008101</v>
      </c>
      <c r="BB70" t="s">
        <v>1278</v>
      </c>
      <c r="BC70" t="s">
        <v>1277</v>
      </c>
      <c r="BD70" t="s">
        <v>94</v>
      </c>
      <c r="BF70" t="s">
        <v>1279</v>
      </c>
      <c r="BG70">
        <v>6</v>
      </c>
      <c r="BH70">
        <v>1004600176</v>
      </c>
      <c r="BI70">
        <v>1</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0.98999999999986399</v>
      </c>
      <c r="CM70">
        <v>0</v>
      </c>
      <c r="CN70">
        <v>0.32</v>
      </c>
      <c r="CO70">
        <v>0</v>
      </c>
      <c r="CP70">
        <v>0</v>
      </c>
      <c r="CQ70">
        <v>0.99</v>
      </c>
      <c r="CR70">
        <v>0.32</v>
      </c>
      <c r="CS70">
        <v>0.99</v>
      </c>
      <c r="CT70">
        <v>0.32</v>
      </c>
      <c r="CU70">
        <v>13082</v>
      </c>
      <c r="CV70">
        <v>2.63</v>
      </c>
      <c r="CW70">
        <v>7</v>
      </c>
      <c r="CX70">
        <v>0.375714285714286</v>
      </c>
      <c r="CZ70">
        <v>63</v>
      </c>
      <c r="DA70">
        <v>76</v>
      </c>
      <c r="DB70">
        <v>22</v>
      </c>
      <c r="DC70">
        <v>45</v>
      </c>
      <c r="DD70" t="s">
        <v>887</v>
      </c>
      <c r="DE70" t="s">
        <v>0</v>
      </c>
      <c r="DF70">
        <f t="shared" si="2"/>
        <v>158.21428571428578</v>
      </c>
      <c r="DG70">
        <v>68</v>
      </c>
      <c r="DH70">
        <f t="shared" si="3"/>
        <v>157.92000000000013</v>
      </c>
    </row>
    <row r="71" spans="1:112" hidden="1" x14ac:dyDescent="0.35">
      <c r="A71">
        <v>1004600176</v>
      </c>
      <c r="D71" t="s">
        <v>100</v>
      </c>
      <c r="E71" t="s">
        <v>120</v>
      </c>
      <c r="F71" t="s">
        <v>104</v>
      </c>
      <c r="G71" t="s">
        <v>103</v>
      </c>
      <c r="H71" t="s">
        <v>971</v>
      </c>
      <c r="J71">
        <v>356483280</v>
      </c>
      <c r="AL71">
        <v>4600176</v>
      </c>
      <c r="AX71">
        <v>11</v>
      </c>
      <c r="AY71">
        <v>641922</v>
      </c>
      <c r="AZ71">
        <v>5489193</v>
      </c>
      <c r="BA71">
        <v>2234.1947205454699</v>
      </c>
      <c r="BB71" t="s">
        <v>1278</v>
      </c>
      <c r="BC71" t="s">
        <v>1277</v>
      </c>
      <c r="BD71" t="s">
        <v>94</v>
      </c>
      <c r="BF71" t="s">
        <v>1276</v>
      </c>
      <c r="BG71">
        <v>7</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0.67099999999987903</v>
      </c>
      <c r="CM71">
        <v>0</v>
      </c>
      <c r="CN71">
        <v>0.67</v>
      </c>
      <c r="CO71">
        <v>0</v>
      </c>
      <c r="CP71">
        <v>0</v>
      </c>
      <c r="CQ71">
        <v>0.67</v>
      </c>
      <c r="CR71">
        <v>0.67</v>
      </c>
      <c r="CS71">
        <v>0.67</v>
      </c>
      <c r="CT71">
        <v>0.67</v>
      </c>
      <c r="CU71">
        <v>13082</v>
      </c>
      <c r="CV71">
        <v>2.63</v>
      </c>
      <c r="CW71">
        <v>7</v>
      </c>
      <c r="CX71">
        <v>0.375714285714286</v>
      </c>
      <c r="CZ71">
        <v>63</v>
      </c>
      <c r="DA71">
        <v>76</v>
      </c>
      <c r="DB71">
        <v>22</v>
      </c>
      <c r="DC71">
        <v>45</v>
      </c>
      <c r="DD71" t="s">
        <v>887</v>
      </c>
      <c r="DE71" t="s">
        <v>0</v>
      </c>
      <c r="DF71">
        <f t="shared" si="2"/>
        <v>158.59000000000006</v>
      </c>
      <c r="DG71">
        <v>69</v>
      </c>
      <c r="DH71">
        <f t="shared" si="3"/>
        <v>158.59000000000012</v>
      </c>
    </row>
    <row r="72" spans="1:112" hidden="1" x14ac:dyDescent="0.35">
      <c r="A72">
        <v>1004604016</v>
      </c>
      <c r="D72" t="s">
        <v>100</v>
      </c>
      <c r="E72" t="s">
        <v>99</v>
      </c>
      <c r="F72" t="s">
        <v>104</v>
      </c>
      <c r="G72" t="s">
        <v>103</v>
      </c>
      <c r="J72">
        <v>356442888</v>
      </c>
      <c r="AL72">
        <v>4604016</v>
      </c>
      <c r="AX72">
        <v>11</v>
      </c>
      <c r="AY72">
        <v>645477</v>
      </c>
      <c r="AZ72">
        <v>5587414</v>
      </c>
      <c r="BA72">
        <v>2061.54052834412</v>
      </c>
      <c r="BB72" t="s">
        <v>1273</v>
      </c>
      <c r="BC72" t="s">
        <v>1275</v>
      </c>
      <c r="BD72" t="s">
        <v>94</v>
      </c>
      <c r="BF72" t="s">
        <v>1274</v>
      </c>
      <c r="BG72">
        <v>2</v>
      </c>
      <c r="BH72">
        <v>1004604012</v>
      </c>
      <c r="BI72">
        <v>1</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1.1686637739421899</v>
      </c>
      <c r="CM72">
        <v>0</v>
      </c>
      <c r="CN72">
        <v>0.21</v>
      </c>
      <c r="CO72">
        <v>0</v>
      </c>
      <c r="CP72">
        <v>0</v>
      </c>
      <c r="CQ72">
        <v>1.17</v>
      </c>
      <c r="CR72">
        <v>0.21</v>
      </c>
      <c r="CS72">
        <v>1.17</v>
      </c>
      <c r="CT72">
        <v>0.21</v>
      </c>
      <c r="CU72">
        <v>189663</v>
      </c>
      <c r="CV72">
        <v>1.17</v>
      </c>
      <c r="CW72">
        <v>2</v>
      </c>
      <c r="CX72">
        <v>0.58499999999999996</v>
      </c>
      <c r="CY72" t="s">
        <v>1270</v>
      </c>
      <c r="CZ72">
        <v>49</v>
      </c>
      <c r="DA72">
        <v>51</v>
      </c>
      <c r="DB72">
        <v>47</v>
      </c>
      <c r="DC72">
        <v>46</v>
      </c>
      <c r="DD72" t="s">
        <v>887</v>
      </c>
      <c r="DE72" t="s">
        <v>0</v>
      </c>
      <c r="DF72">
        <f t="shared" si="2"/>
        <v>159.17500000000007</v>
      </c>
      <c r="DG72">
        <v>70</v>
      </c>
      <c r="DH72">
        <f t="shared" si="3"/>
        <v>158.80000000000013</v>
      </c>
    </row>
    <row r="73" spans="1:112" hidden="1" x14ac:dyDescent="0.35">
      <c r="A73">
        <v>1004604012</v>
      </c>
      <c r="D73" t="s">
        <v>100</v>
      </c>
      <c r="E73" t="s">
        <v>99</v>
      </c>
      <c r="F73" t="s">
        <v>104</v>
      </c>
      <c r="G73" t="s">
        <v>103</v>
      </c>
      <c r="J73">
        <v>356442888</v>
      </c>
      <c r="AL73">
        <v>4604012</v>
      </c>
      <c r="AX73">
        <v>11</v>
      </c>
      <c r="AY73">
        <v>645276</v>
      </c>
      <c r="AZ73">
        <v>5587466</v>
      </c>
      <c r="BA73">
        <v>2275.24362548095</v>
      </c>
      <c r="BB73" t="s">
        <v>1273</v>
      </c>
      <c r="BC73" t="s">
        <v>1272</v>
      </c>
      <c r="BD73" t="s">
        <v>94</v>
      </c>
      <c r="BF73" t="s">
        <v>1271</v>
      </c>
      <c r="BG73">
        <v>3</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0.95566372728333104</v>
      </c>
      <c r="CM73">
        <v>0</v>
      </c>
      <c r="CN73">
        <v>0.96</v>
      </c>
      <c r="CO73">
        <v>0</v>
      </c>
      <c r="CP73">
        <v>0</v>
      </c>
      <c r="CQ73">
        <v>0.96</v>
      </c>
      <c r="CR73">
        <v>0.96</v>
      </c>
      <c r="CS73">
        <v>0.96</v>
      </c>
      <c r="CT73">
        <v>0.96</v>
      </c>
      <c r="CU73">
        <v>189663</v>
      </c>
      <c r="CV73">
        <v>1.17</v>
      </c>
      <c r="CW73">
        <v>2</v>
      </c>
      <c r="CX73">
        <v>0.58499999999999996</v>
      </c>
      <c r="CY73" t="s">
        <v>1270</v>
      </c>
      <c r="CZ73">
        <v>49</v>
      </c>
      <c r="DA73">
        <v>51</v>
      </c>
      <c r="DB73">
        <v>47</v>
      </c>
      <c r="DC73">
        <v>46</v>
      </c>
      <c r="DD73" t="s">
        <v>887</v>
      </c>
      <c r="DE73" t="s">
        <v>0</v>
      </c>
      <c r="DF73">
        <f t="shared" si="2"/>
        <v>159.76000000000008</v>
      </c>
      <c r="DG73">
        <v>71</v>
      </c>
      <c r="DH73">
        <f t="shared" si="3"/>
        <v>159.76000000000013</v>
      </c>
    </row>
    <row r="74" spans="1:112" x14ac:dyDescent="0.35">
      <c r="A74">
        <v>62416</v>
      </c>
      <c r="B74">
        <v>62416</v>
      </c>
      <c r="C74" t="s">
        <v>1269</v>
      </c>
      <c r="D74" t="s">
        <v>121</v>
      </c>
      <c r="E74" t="s">
        <v>99</v>
      </c>
      <c r="F74" t="s">
        <v>104</v>
      </c>
      <c r="G74" t="s">
        <v>119</v>
      </c>
      <c r="J74">
        <v>356560087</v>
      </c>
      <c r="K74" t="s">
        <v>1056</v>
      </c>
      <c r="L74" t="s">
        <v>1057</v>
      </c>
      <c r="M74" t="s">
        <v>39</v>
      </c>
      <c r="N74" t="s">
        <v>1268</v>
      </c>
      <c r="P74" t="s">
        <v>1159</v>
      </c>
      <c r="Q74" t="s">
        <v>37</v>
      </c>
      <c r="T74" t="s">
        <v>6</v>
      </c>
      <c r="V74" t="s">
        <v>149</v>
      </c>
      <c r="W74" t="s">
        <v>1267</v>
      </c>
      <c r="X74">
        <v>500000</v>
      </c>
      <c r="Y74" t="s">
        <v>149</v>
      </c>
      <c r="AE74" t="s">
        <v>1266</v>
      </c>
      <c r="AF74" s="1">
        <v>45838</v>
      </c>
      <c r="AG74" t="s">
        <v>1265</v>
      </c>
      <c r="AI74" t="s">
        <v>1264</v>
      </c>
      <c r="AJ74" t="s">
        <v>1263</v>
      </c>
      <c r="AK74" t="s">
        <v>1262</v>
      </c>
      <c r="AL74">
        <v>4600504</v>
      </c>
      <c r="AM74" t="s">
        <v>782</v>
      </c>
      <c r="AN74" t="s">
        <v>113</v>
      </c>
      <c r="AO74" t="s">
        <v>1261</v>
      </c>
      <c r="AP74" t="s">
        <v>1056</v>
      </c>
      <c r="AQ74" t="s">
        <v>1260</v>
      </c>
      <c r="AR74" s="1">
        <v>41917</v>
      </c>
      <c r="AX74">
        <v>11</v>
      </c>
      <c r="AY74">
        <v>653796</v>
      </c>
      <c r="AZ74">
        <v>5539818</v>
      </c>
      <c r="BA74">
        <v>2102</v>
      </c>
      <c r="BB74" t="s">
        <v>1259</v>
      </c>
      <c r="BC74" t="s">
        <v>1258</v>
      </c>
      <c r="BD74" t="s">
        <v>94</v>
      </c>
      <c r="BE74" t="s">
        <v>1056</v>
      </c>
      <c r="BF74" t="s">
        <v>1053</v>
      </c>
      <c r="BG74">
        <v>2</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0.980000029192865</v>
      </c>
      <c r="CM74">
        <v>0</v>
      </c>
      <c r="CN74">
        <v>0.98</v>
      </c>
      <c r="CO74">
        <v>0</v>
      </c>
      <c r="CP74">
        <v>0</v>
      </c>
      <c r="CQ74">
        <v>0.98</v>
      </c>
      <c r="CR74">
        <v>0.98</v>
      </c>
      <c r="CS74">
        <v>0.98</v>
      </c>
      <c r="CT74">
        <v>0.98</v>
      </c>
      <c r="CU74">
        <v>167863</v>
      </c>
      <c r="CV74">
        <v>0.98</v>
      </c>
      <c r="CW74">
        <v>1</v>
      </c>
      <c r="CX74">
        <v>0.98</v>
      </c>
      <c r="CY74" t="s">
        <v>1052</v>
      </c>
      <c r="CZ74">
        <v>33</v>
      </c>
      <c r="DA74">
        <v>44</v>
      </c>
      <c r="DB74">
        <v>55</v>
      </c>
      <c r="DC74">
        <v>47</v>
      </c>
      <c r="DD74" t="s">
        <v>887</v>
      </c>
      <c r="DE74" t="s">
        <v>0</v>
      </c>
      <c r="DF74">
        <f t="shared" si="2"/>
        <v>160.74000000000007</v>
      </c>
      <c r="DG74">
        <v>72</v>
      </c>
      <c r="DH74">
        <f t="shared" si="3"/>
        <v>160.74000000000012</v>
      </c>
    </row>
    <row r="75" spans="1:112" hidden="1" x14ac:dyDescent="0.35">
      <c r="A75">
        <v>1004606266</v>
      </c>
      <c r="D75" t="s">
        <v>100</v>
      </c>
      <c r="E75" t="s">
        <v>99</v>
      </c>
      <c r="F75" t="s">
        <v>104</v>
      </c>
      <c r="G75" t="s">
        <v>103</v>
      </c>
      <c r="J75">
        <v>356566667</v>
      </c>
      <c r="AL75">
        <v>4606266</v>
      </c>
      <c r="AX75">
        <v>11</v>
      </c>
      <c r="AY75">
        <v>664703</v>
      </c>
      <c r="AZ75">
        <v>5521765</v>
      </c>
      <c r="BA75">
        <v>30396.226120539199</v>
      </c>
      <c r="BB75" t="s">
        <v>452</v>
      </c>
      <c r="BC75" t="s">
        <v>1257</v>
      </c>
      <c r="BD75" t="s">
        <v>94</v>
      </c>
      <c r="BE75" t="s">
        <v>450</v>
      </c>
      <c r="BF75" t="s">
        <v>449</v>
      </c>
      <c r="BG75">
        <v>1</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0.64330223739444004</v>
      </c>
      <c r="CM75">
        <v>0</v>
      </c>
      <c r="CN75">
        <v>0.64</v>
      </c>
      <c r="CO75">
        <v>0</v>
      </c>
      <c r="CP75">
        <v>0</v>
      </c>
      <c r="CQ75">
        <v>0.64</v>
      </c>
      <c r="CR75">
        <v>0.64</v>
      </c>
      <c r="CS75">
        <v>0.64</v>
      </c>
      <c r="CT75">
        <v>0.64</v>
      </c>
      <c r="CU75">
        <v>226722</v>
      </c>
      <c r="CV75">
        <v>0.64</v>
      </c>
      <c r="CW75">
        <v>1</v>
      </c>
      <c r="CX75">
        <v>0.64</v>
      </c>
      <c r="CZ75">
        <v>45</v>
      </c>
      <c r="DA75">
        <v>34</v>
      </c>
      <c r="DB75">
        <v>70</v>
      </c>
      <c r="DC75">
        <v>48</v>
      </c>
      <c r="DD75" t="s">
        <v>887</v>
      </c>
      <c r="DE75" t="s">
        <v>0</v>
      </c>
      <c r="DF75">
        <f t="shared" si="2"/>
        <v>161.38000000000005</v>
      </c>
      <c r="DG75">
        <v>73</v>
      </c>
      <c r="DH75">
        <f t="shared" si="3"/>
        <v>161.38000000000011</v>
      </c>
    </row>
    <row r="76" spans="1:112" hidden="1" x14ac:dyDescent="0.35">
      <c r="A76">
        <v>1004600328</v>
      </c>
      <c r="D76" t="s">
        <v>100</v>
      </c>
      <c r="E76" t="s">
        <v>120</v>
      </c>
      <c r="F76" t="s">
        <v>104</v>
      </c>
      <c r="G76" t="s">
        <v>103</v>
      </c>
      <c r="H76" t="s">
        <v>525</v>
      </c>
      <c r="J76">
        <v>356459087</v>
      </c>
      <c r="AL76">
        <v>4600328</v>
      </c>
      <c r="AX76">
        <v>11</v>
      </c>
      <c r="AY76">
        <v>643402</v>
      </c>
      <c r="AZ76">
        <v>5473370</v>
      </c>
      <c r="BA76">
        <v>102.053959860375</v>
      </c>
      <c r="BB76" t="s">
        <v>1254</v>
      </c>
      <c r="BC76" t="s">
        <v>1254</v>
      </c>
      <c r="BD76" t="s">
        <v>94</v>
      </c>
      <c r="BF76" t="s">
        <v>449</v>
      </c>
      <c r="BG76">
        <v>1</v>
      </c>
      <c r="BH76" t="s">
        <v>1256</v>
      </c>
      <c r="BI76">
        <v>2</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1.4609999999999801</v>
      </c>
      <c r="CM76">
        <v>0</v>
      </c>
      <c r="CN76">
        <v>0.33</v>
      </c>
      <c r="CO76">
        <v>0</v>
      </c>
      <c r="CP76">
        <v>0</v>
      </c>
      <c r="CQ76">
        <v>1.46</v>
      </c>
      <c r="CR76">
        <v>0.33</v>
      </c>
      <c r="CS76">
        <v>1.46</v>
      </c>
      <c r="CT76">
        <v>0.33</v>
      </c>
      <c r="CU76">
        <v>141702</v>
      </c>
      <c r="CV76">
        <v>1.46</v>
      </c>
      <c r="CW76">
        <v>3</v>
      </c>
      <c r="CX76">
        <v>0.48666666666666702</v>
      </c>
      <c r="CZ76">
        <v>53</v>
      </c>
      <c r="DA76">
        <v>67</v>
      </c>
      <c r="DB76">
        <v>38</v>
      </c>
      <c r="DC76">
        <v>49</v>
      </c>
      <c r="DD76" t="s">
        <v>887</v>
      </c>
      <c r="DE76" t="s">
        <v>0</v>
      </c>
      <c r="DF76">
        <f t="shared" si="2"/>
        <v>161.86666666666673</v>
      </c>
      <c r="DG76">
        <v>74</v>
      </c>
      <c r="DH76">
        <f t="shared" si="3"/>
        <v>161.71000000000012</v>
      </c>
    </row>
    <row r="77" spans="1:112" hidden="1" x14ac:dyDescent="0.35">
      <c r="A77">
        <v>1004601755</v>
      </c>
      <c r="D77" t="s">
        <v>100</v>
      </c>
      <c r="E77" t="s">
        <v>99</v>
      </c>
      <c r="F77" t="s">
        <v>104</v>
      </c>
      <c r="G77" t="s">
        <v>103</v>
      </c>
      <c r="J77">
        <v>356459087</v>
      </c>
      <c r="AL77">
        <v>4601755</v>
      </c>
      <c r="AX77">
        <v>11</v>
      </c>
      <c r="AY77">
        <v>643120</v>
      </c>
      <c r="AZ77">
        <v>5473217</v>
      </c>
      <c r="BA77">
        <v>434.39898887382498</v>
      </c>
      <c r="BB77" t="s">
        <v>1254</v>
      </c>
      <c r="BC77" t="s">
        <v>1254</v>
      </c>
      <c r="BD77" t="s">
        <v>94</v>
      </c>
      <c r="BF77" t="s">
        <v>1255</v>
      </c>
      <c r="BG77">
        <v>2</v>
      </c>
      <c r="BH77">
        <v>1004601757</v>
      </c>
      <c r="BI77">
        <v>1</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1.12899999999998</v>
      </c>
      <c r="CM77">
        <v>0</v>
      </c>
      <c r="CN77">
        <v>0.17</v>
      </c>
      <c r="CO77">
        <v>0</v>
      </c>
      <c r="CP77">
        <v>0</v>
      </c>
      <c r="CQ77">
        <v>1.1299999999999999</v>
      </c>
      <c r="CR77">
        <v>0.17</v>
      </c>
      <c r="CS77">
        <v>1.1299999999999999</v>
      </c>
      <c r="CT77">
        <v>0.17</v>
      </c>
      <c r="CU77">
        <v>141702</v>
      </c>
      <c r="CV77">
        <v>1.46</v>
      </c>
      <c r="CW77">
        <v>3</v>
      </c>
      <c r="CX77">
        <v>0.48666666666666702</v>
      </c>
      <c r="CZ77">
        <v>53</v>
      </c>
      <c r="DA77">
        <v>67</v>
      </c>
      <c r="DB77">
        <v>38</v>
      </c>
      <c r="DC77">
        <v>49</v>
      </c>
      <c r="DD77" t="s">
        <v>887</v>
      </c>
      <c r="DE77" t="s">
        <v>0</v>
      </c>
      <c r="DF77">
        <f t="shared" si="2"/>
        <v>162.35333333333341</v>
      </c>
      <c r="DG77">
        <v>75</v>
      </c>
      <c r="DH77">
        <f t="shared" si="3"/>
        <v>161.88000000000011</v>
      </c>
    </row>
    <row r="78" spans="1:112" hidden="1" x14ac:dyDescent="0.35">
      <c r="A78">
        <v>1004601757</v>
      </c>
      <c r="D78" t="s">
        <v>100</v>
      </c>
      <c r="E78" t="s">
        <v>99</v>
      </c>
      <c r="F78" t="s">
        <v>104</v>
      </c>
      <c r="G78" t="s">
        <v>103</v>
      </c>
      <c r="J78">
        <v>356459087</v>
      </c>
      <c r="AL78">
        <v>4601757</v>
      </c>
      <c r="AX78">
        <v>11</v>
      </c>
      <c r="AY78">
        <v>643029</v>
      </c>
      <c r="AZ78">
        <v>5473359</v>
      </c>
      <c r="BA78">
        <v>607.43943568544501</v>
      </c>
      <c r="BB78" t="s">
        <v>1254</v>
      </c>
      <c r="BC78" t="s">
        <v>1254</v>
      </c>
      <c r="BD78" t="s">
        <v>94</v>
      </c>
      <c r="BF78" t="s">
        <v>1253</v>
      </c>
      <c r="BG78">
        <v>3</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0.95599999999995899</v>
      </c>
      <c r="CM78">
        <v>0</v>
      </c>
      <c r="CN78">
        <v>0.96</v>
      </c>
      <c r="CO78">
        <v>0</v>
      </c>
      <c r="CP78">
        <v>0</v>
      </c>
      <c r="CQ78">
        <v>0.96</v>
      </c>
      <c r="CR78">
        <v>0.96</v>
      </c>
      <c r="CS78">
        <v>0.96</v>
      </c>
      <c r="CT78">
        <v>0.96</v>
      </c>
      <c r="CU78">
        <v>141702</v>
      </c>
      <c r="CV78">
        <v>1.46</v>
      </c>
      <c r="CW78">
        <v>3</v>
      </c>
      <c r="CX78">
        <v>0.48666666666666702</v>
      </c>
      <c r="CZ78">
        <v>53</v>
      </c>
      <c r="DA78">
        <v>67</v>
      </c>
      <c r="DB78">
        <v>38</v>
      </c>
      <c r="DC78">
        <v>49</v>
      </c>
      <c r="DD78" t="s">
        <v>887</v>
      </c>
      <c r="DE78" t="s">
        <v>0</v>
      </c>
      <c r="DF78">
        <f t="shared" si="2"/>
        <v>162.84000000000009</v>
      </c>
      <c r="DG78">
        <v>76</v>
      </c>
      <c r="DH78">
        <f t="shared" si="3"/>
        <v>162.84000000000012</v>
      </c>
    </row>
    <row r="79" spans="1:112" hidden="1" x14ac:dyDescent="0.35">
      <c r="A79">
        <v>1004601225</v>
      </c>
      <c r="D79" t="s">
        <v>100</v>
      </c>
      <c r="E79" t="s">
        <v>99</v>
      </c>
      <c r="F79" t="s">
        <v>104</v>
      </c>
      <c r="G79" t="s">
        <v>103</v>
      </c>
      <c r="J79">
        <v>356565258</v>
      </c>
      <c r="AL79">
        <v>4601225</v>
      </c>
      <c r="AX79">
        <v>11</v>
      </c>
      <c r="AY79">
        <v>640103</v>
      </c>
      <c r="AZ79">
        <v>5521029</v>
      </c>
      <c r="BA79">
        <v>19760.591642097701</v>
      </c>
      <c r="BB79" t="s">
        <v>485</v>
      </c>
      <c r="BC79" t="s">
        <v>1252</v>
      </c>
      <c r="BD79" t="s">
        <v>94</v>
      </c>
      <c r="BE79" t="s">
        <v>484</v>
      </c>
      <c r="BF79" t="s">
        <v>1251</v>
      </c>
      <c r="BG79">
        <v>2</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0.38231287424967902</v>
      </c>
      <c r="CL79">
        <v>0.85999995396228202</v>
      </c>
      <c r="CM79">
        <v>0.38</v>
      </c>
      <c r="CN79">
        <v>0.86</v>
      </c>
      <c r="CO79">
        <v>0.38</v>
      </c>
      <c r="CP79">
        <v>0.38</v>
      </c>
      <c r="CQ79">
        <v>0.86</v>
      </c>
      <c r="CR79">
        <v>0.86</v>
      </c>
      <c r="CS79">
        <v>0.86</v>
      </c>
      <c r="CT79">
        <v>0.86</v>
      </c>
      <c r="CU79">
        <v>150423</v>
      </c>
      <c r="CV79">
        <v>0.86</v>
      </c>
      <c r="CW79">
        <v>1</v>
      </c>
      <c r="CX79">
        <v>0.86</v>
      </c>
      <c r="CY79" t="s">
        <v>1250</v>
      </c>
      <c r="CZ79">
        <v>35</v>
      </c>
      <c r="DA79">
        <v>45</v>
      </c>
      <c r="DB79">
        <v>60</v>
      </c>
      <c r="DC79">
        <v>50</v>
      </c>
      <c r="DD79" t="s">
        <v>887</v>
      </c>
      <c r="DE79" t="s">
        <v>0</v>
      </c>
      <c r="DF79">
        <f t="shared" si="2"/>
        <v>163.7000000000001</v>
      </c>
      <c r="DG79">
        <v>77</v>
      </c>
      <c r="DH79">
        <f t="shared" si="3"/>
        <v>163.70000000000013</v>
      </c>
    </row>
    <row r="80" spans="1:112" hidden="1" x14ac:dyDescent="0.35">
      <c r="A80">
        <v>1004600084</v>
      </c>
      <c r="D80" t="s">
        <v>100</v>
      </c>
      <c r="E80" t="s">
        <v>120</v>
      </c>
      <c r="F80" t="s">
        <v>104</v>
      </c>
      <c r="G80" t="s">
        <v>103</v>
      </c>
      <c r="H80" t="s">
        <v>525</v>
      </c>
      <c r="J80">
        <v>356562135</v>
      </c>
      <c r="AL80">
        <v>4600084</v>
      </c>
      <c r="AX80">
        <v>11</v>
      </c>
      <c r="AY80">
        <v>649716</v>
      </c>
      <c r="AZ80">
        <v>5499485</v>
      </c>
      <c r="BA80">
        <v>735.67435775171305</v>
      </c>
      <c r="BB80" t="s">
        <v>951</v>
      </c>
      <c r="BC80" t="s">
        <v>951</v>
      </c>
      <c r="BD80" t="s">
        <v>94</v>
      </c>
      <c r="BF80" t="s">
        <v>449</v>
      </c>
      <c r="BG80">
        <v>1</v>
      </c>
      <c r="BH80" t="s">
        <v>1249</v>
      </c>
      <c r="BI80">
        <v>11</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2.4520009026267902</v>
      </c>
      <c r="CM80">
        <v>0</v>
      </c>
      <c r="CN80">
        <v>7.0000000000000007E-2</v>
      </c>
      <c r="CO80">
        <v>0</v>
      </c>
      <c r="CP80">
        <v>0</v>
      </c>
      <c r="CQ80">
        <v>2.4500000000000002</v>
      </c>
      <c r="CR80">
        <v>0.06</v>
      </c>
      <c r="CS80">
        <v>2.4500000000000002</v>
      </c>
      <c r="CT80">
        <v>0.06</v>
      </c>
      <c r="CU80">
        <v>337902</v>
      </c>
      <c r="CV80">
        <v>1.67</v>
      </c>
      <c r="CW80">
        <v>5</v>
      </c>
      <c r="CX80">
        <v>0.33400000000000002</v>
      </c>
      <c r="CZ80">
        <v>70</v>
      </c>
      <c r="DA80">
        <v>83</v>
      </c>
      <c r="DB80">
        <v>23</v>
      </c>
      <c r="DC80">
        <v>51</v>
      </c>
      <c r="DD80" t="s">
        <v>887</v>
      </c>
      <c r="DE80" t="s">
        <v>0</v>
      </c>
      <c r="DF80">
        <f t="shared" si="2"/>
        <v>164.03400000000011</v>
      </c>
      <c r="DG80">
        <v>78</v>
      </c>
      <c r="DH80">
        <f t="shared" si="3"/>
        <v>163.76000000000013</v>
      </c>
    </row>
    <row r="81" spans="1:112" hidden="1" x14ac:dyDescent="0.35">
      <c r="A81">
        <v>1004606788</v>
      </c>
      <c r="D81" t="s">
        <v>100</v>
      </c>
      <c r="E81" t="s">
        <v>180</v>
      </c>
      <c r="F81" t="s">
        <v>104</v>
      </c>
      <c r="G81" t="s">
        <v>103</v>
      </c>
      <c r="I81" t="s">
        <v>7</v>
      </c>
      <c r="J81">
        <v>356562135</v>
      </c>
      <c r="AL81">
        <v>4606788</v>
      </c>
      <c r="AX81">
        <v>11</v>
      </c>
      <c r="AY81">
        <v>649779</v>
      </c>
      <c r="AZ81">
        <v>5499464</v>
      </c>
      <c r="BA81">
        <v>801.856913776444</v>
      </c>
      <c r="BB81" t="s">
        <v>951</v>
      </c>
      <c r="BC81" t="s">
        <v>951</v>
      </c>
      <c r="BD81" t="s">
        <v>94</v>
      </c>
      <c r="BF81" t="s">
        <v>1248</v>
      </c>
      <c r="BG81">
        <v>2</v>
      </c>
      <c r="BH81" t="s">
        <v>1247</v>
      </c>
      <c r="BI81">
        <v>10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2.3860009026268001</v>
      </c>
      <c r="CM81">
        <v>0</v>
      </c>
      <c r="CN81">
        <v>0.23</v>
      </c>
      <c r="CO81">
        <v>0</v>
      </c>
      <c r="CP81">
        <v>0</v>
      </c>
      <c r="CQ81">
        <v>2.39</v>
      </c>
      <c r="CR81">
        <v>0.23</v>
      </c>
      <c r="CS81">
        <v>2.39</v>
      </c>
      <c r="CT81">
        <v>0.23</v>
      </c>
      <c r="CU81">
        <v>337902</v>
      </c>
      <c r="CV81">
        <v>1.67</v>
      </c>
      <c r="CW81">
        <v>5</v>
      </c>
      <c r="CX81">
        <v>0.33400000000000002</v>
      </c>
      <c r="CZ81">
        <v>70</v>
      </c>
      <c r="DA81">
        <v>83</v>
      </c>
      <c r="DB81">
        <v>23</v>
      </c>
      <c r="DC81">
        <v>51</v>
      </c>
      <c r="DD81" t="s">
        <v>887</v>
      </c>
      <c r="DE81" t="s">
        <v>0</v>
      </c>
      <c r="DF81">
        <f t="shared" si="2"/>
        <v>164.36800000000011</v>
      </c>
      <c r="DG81">
        <v>79</v>
      </c>
      <c r="DH81">
        <f t="shared" si="3"/>
        <v>163.99000000000012</v>
      </c>
    </row>
    <row r="82" spans="1:112" hidden="1" x14ac:dyDescent="0.35">
      <c r="A82">
        <v>1024734735</v>
      </c>
      <c r="D82" t="s">
        <v>100</v>
      </c>
      <c r="E82" t="s">
        <v>99</v>
      </c>
      <c r="F82" t="s">
        <v>104</v>
      </c>
      <c r="G82" t="s">
        <v>103</v>
      </c>
      <c r="J82">
        <v>356562135</v>
      </c>
      <c r="AL82">
        <v>24734735</v>
      </c>
      <c r="AX82">
        <v>11</v>
      </c>
      <c r="AY82">
        <v>649998</v>
      </c>
      <c r="AZ82">
        <v>5499469</v>
      </c>
      <c r="BA82">
        <v>1027.7077209449501</v>
      </c>
      <c r="BB82" t="s">
        <v>951</v>
      </c>
      <c r="BC82" t="s">
        <v>951</v>
      </c>
      <c r="BD82" t="s">
        <v>94</v>
      </c>
      <c r="BF82" t="s">
        <v>1246</v>
      </c>
      <c r="BG82">
        <v>3</v>
      </c>
      <c r="BH82" t="s">
        <v>1245</v>
      </c>
      <c r="BI82">
        <v>9</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2.1600009026267299</v>
      </c>
      <c r="CM82">
        <v>0</v>
      </c>
      <c r="CN82">
        <v>0.53</v>
      </c>
      <c r="CO82">
        <v>0</v>
      </c>
      <c r="CP82">
        <v>0</v>
      </c>
      <c r="CQ82">
        <v>2.16</v>
      </c>
      <c r="CR82">
        <v>0.53</v>
      </c>
      <c r="CS82">
        <v>2.16</v>
      </c>
      <c r="CT82">
        <v>0.53</v>
      </c>
      <c r="CU82">
        <v>337902</v>
      </c>
      <c r="CV82">
        <v>1.67</v>
      </c>
      <c r="CW82">
        <v>5</v>
      </c>
      <c r="CX82">
        <v>0.33400000000000002</v>
      </c>
      <c r="CZ82">
        <v>70</v>
      </c>
      <c r="DA82">
        <v>83</v>
      </c>
      <c r="DB82">
        <v>23</v>
      </c>
      <c r="DC82">
        <v>51</v>
      </c>
      <c r="DD82" t="s">
        <v>887</v>
      </c>
      <c r="DE82" t="s">
        <v>0</v>
      </c>
      <c r="DF82">
        <f t="shared" si="2"/>
        <v>164.70200000000011</v>
      </c>
      <c r="DG82">
        <v>80</v>
      </c>
      <c r="DH82">
        <f t="shared" si="3"/>
        <v>164.52000000000012</v>
      </c>
    </row>
    <row r="83" spans="1:112" hidden="1" x14ac:dyDescent="0.35">
      <c r="A83">
        <v>1004601457</v>
      </c>
      <c r="D83" t="s">
        <v>100</v>
      </c>
      <c r="E83" t="s">
        <v>99</v>
      </c>
      <c r="F83" t="s">
        <v>104</v>
      </c>
      <c r="G83" t="s">
        <v>103</v>
      </c>
      <c r="J83">
        <v>356562135</v>
      </c>
      <c r="AL83">
        <v>4601457</v>
      </c>
      <c r="AX83">
        <v>11</v>
      </c>
      <c r="AY83">
        <v>650413</v>
      </c>
      <c r="AZ83">
        <v>5499750</v>
      </c>
      <c r="BA83">
        <v>1559.1825084878701</v>
      </c>
      <c r="BB83" t="s">
        <v>951</v>
      </c>
      <c r="BC83" t="s">
        <v>951</v>
      </c>
      <c r="BD83" t="s">
        <v>94</v>
      </c>
      <c r="BF83" t="s">
        <v>1244</v>
      </c>
      <c r="BG83">
        <v>4</v>
      </c>
      <c r="BH83" t="s">
        <v>1243</v>
      </c>
      <c r="BI83">
        <v>8</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1.62900090262676</v>
      </c>
      <c r="CM83">
        <v>0</v>
      </c>
      <c r="CN83">
        <v>7.0000000000000007E-2</v>
      </c>
      <c r="CO83">
        <v>0</v>
      </c>
      <c r="CP83">
        <v>0</v>
      </c>
      <c r="CQ83">
        <v>1.63</v>
      </c>
      <c r="CR83">
        <v>7.0000000000000007E-2</v>
      </c>
      <c r="CS83">
        <v>1.63</v>
      </c>
      <c r="CT83">
        <v>7.0000000000000007E-2</v>
      </c>
      <c r="CU83">
        <v>337902</v>
      </c>
      <c r="CV83">
        <v>1.67</v>
      </c>
      <c r="CW83">
        <v>5</v>
      </c>
      <c r="CX83">
        <v>0.33400000000000002</v>
      </c>
      <c r="CZ83">
        <v>70</v>
      </c>
      <c r="DA83">
        <v>83</v>
      </c>
      <c r="DB83">
        <v>23</v>
      </c>
      <c r="DC83">
        <v>51</v>
      </c>
      <c r="DD83" t="s">
        <v>887</v>
      </c>
      <c r="DE83" t="s">
        <v>0</v>
      </c>
      <c r="DF83">
        <f t="shared" si="2"/>
        <v>165.03600000000012</v>
      </c>
      <c r="DG83">
        <v>81</v>
      </c>
      <c r="DH83">
        <f t="shared" si="3"/>
        <v>164.59000000000012</v>
      </c>
    </row>
    <row r="84" spans="1:112" hidden="1" x14ac:dyDescent="0.35">
      <c r="A84">
        <v>1004602419</v>
      </c>
      <c r="D84" t="s">
        <v>100</v>
      </c>
      <c r="E84" t="s">
        <v>99</v>
      </c>
      <c r="F84" t="s">
        <v>104</v>
      </c>
      <c r="G84" t="s">
        <v>103</v>
      </c>
      <c r="J84">
        <v>356562135</v>
      </c>
      <c r="AL84">
        <v>4602419</v>
      </c>
      <c r="AX84">
        <v>11</v>
      </c>
      <c r="AY84">
        <v>650456</v>
      </c>
      <c r="AZ84">
        <v>5499808</v>
      </c>
      <c r="BA84">
        <v>1631.38725735452</v>
      </c>
      <c r="BB84" t="s">
        <v>951</v>
      </c>
      <c r="BC84" t="s">
        <v>951</v>
      </c>
      <c r="BD84" t="s">
        <v>94</v>
      </c>
      <c r="BF84" t="s">
        <v>1242</v>
      </c>
      <c r="BG84">
        <v>5</v>
      </c>
      <c r="BH84" t="s">
        <v>1241</v>
      </c>
      <c r="BI84">
        <v>7</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1.5570009026267499</v>
      </c>
      <c r="CM84">
        <v>0</v>
      </c>
      <c r="CN84">
        <v>0.77</v>
      </c>
      <c r="CO84">
        <v>0</v>
      </c>
      <c r="CP84">
        <v>0</v>
      </c>
      <c r="CQ84">
        <v>1.56</v>
      </c>
      <c r="CR84">
        <v>0.78</v>
      </c>
      <c r="CS84">
        <v>1.56</v>
      </c>
      <c r="CT84">
        <v>0.78</v>
      </c>
      <c r="CU84">
        <v>337902</v>
      </c>
      <c r="CV84">
        <v>1.67</v>
      </c>
      <c r="CW84">
        <v>5</v>
      </c>
      <c r="CX84">
        <v>0.33400000000000002</v>
      </c>
      <c r="CZ84">
        <v>70</v>
      </c>
      <c r="DA84">
        <v>83</v>
      </c>
      <c r="DB84">
        <v>23</v>
      </c>
      <c r="DC84">
        <v>51</v>
      </c>
      <c r="DD84" t="s">
        <v>887</v>
      </c>
      <c r="DE84" t="s">
        <v>0</v>
      </c>
      <c r="DF84">
        <f t="shared" si="2"/>
        <v>165.37000000000012</v>
      </c>
      <c r="DG84">
        <v>82</v>
      </c>
      <c r="DH84">
        <f t="shared" si="3"/>
        <v>165.37000000000012</v>
      </c>
    </row>
    <row r="85" spans="1:112" hidden="1" x14ac:dyDescent="0.35">
      <c r="A85">
        <v>1004600508</v>
      </c>
      <c r="D85" t="s">
        <v>100</v>
      </c>
      <c r="E85" t="s">
        <v>99</v>
      </c>
      <c r="F85" t="s">
        <v>104</v>
      </c>
      <c r="G85" t="s">
        <v>103</v>
      </c>
      <c r="J85">
        <v>356568905</v>
      </c>
      <c r="AL85">
        <v>4600508</v>
      </c>
      <c r="AX85">
        <v>11</v>
      </c>
      <c r="AY85">
        <v>642777</v>
      </c>
      <c r="AZ85">
        <v>5534936</v>
      </c>
      <c r="BA85">
        <v>11500.195333953499</v>
      </c>
      <c r="BB85" t="s">
        <v>345</v>
      </c>
      <c r="BC85" t="s">
        <v>1240</v>
      </c>
      <c r="BD85" t="s">
        <v>94</v>
      </c>
      <c r="BE85" t="s">
        <v>344</v>
      </c>
      <c r="BF85" t="s">
        <v>343</v>
      </c>
      <c r="BG85">
        <v>2</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0.80731907171332795</v>
      </c>
      <c r="CM85">
        <v>0</v>
      </c>
      <c r="CN85">
        <v>0.81</v>
      </c>
      <c r="CO85">
        <v>0</v>
      </c>
      <c r="CP85">
        <v>0</v>
      </c>
      <c r="CQ85">
        <v>0.81</v>
      </c>
      <c r="CR85">
        <v>0.81</v>
      </c>
      <c r="CS85">
        <v>0.81</v>
      </c>
      <c r="CT85">
        <v>0.81</v>
      </c>
      <c r="CU85">
        <v>374963</v>
      </c>
      <c r="CV85">
        <v>0.81</v>
      </c>
      <c r="CW85">
        <v>1</v>
      </c>
      <c r="CX85">
        <v>0.81</v>
      </c>
      <c r="CY85" t="s">
        <v>1239</v>
      </c>
      <c r="CZ85">
        <v>39</v>
      </c>
      <c r="DA85">
        <v>46</v>
      </c>
      <c r="DB85">
        <v>63</v>
      </c>
      <c r="DC85">
        <v>52</v>
      </c>
      <c r="DD85" t="s">
        <v>887</v>
      </c>
      <c r="DE85" t="s">
        <v>0</v>
      </c>
      <c r="DF85">
        <f t="shared" si="2"/>
        <v>166.18000000000012</v>
      </c>
      <c r="DG85">
        <v>83</v>
      </c>
      <c r="DH85">
        <f t="shared" si="3"/>
        <v>166.18000000000012</v>
      </c>
    </row>
    <row r="86" spans="1:112" hidden="1" x14ac:dyDescent="0.35">
      <c r="A86">
        <v>1024733652</v>
      </c>
      <c r="D86" t="s">
        <v>100</v>
      </c>
      <c r="E86" t="s">
        <v>99</v>
      </c>
      <c r="F86" t="s">
        <v>104</v>
      </c>
      <c r="G86" t="s">
        <v>103</v>
      </c>
      <c r="J86">
        <v>356566911</v>
      </c>
      <c r="AL86">
        <v>24733652</v>
      </c>
      <c r="AX86">
        <v>11</v>
      </c>
      <c r="AY86">
        <v>639727</v>
      </c>
      <c r="AZ86">
        <v>5463809</v>
      </c>
      <c r="BA86">
        <v>181.89553820934901</v>
      </c>
      <c r="BB86" t="s">
        <v>1238</v>
      </c>
      <c r="BC86" t="s">
        <v>1238</v>
      </c>
      <c r="BD86" t="s">
        <v>94</v>
      </c>
      <c r="BE86" t="s">
        <v>1237</v>
      </c>
      <c r="BF86" t="s">
        <v>449</v>
      </c>
      <c r="BG86">
        <v>1</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0.61500000000008204</v>
      </c>
      <c r="CM86">
        <v>0</v>
      </c>
      <c r="CN86">
        <v>0.62</v>
      </c>
      <c r="CO86">
        <v>0</v>
      </c>
      <c r="CP86">
        <v>0</v>
      </c>
      <c r="CQ86">
        <v>0.62</v>
      </c>
      <c r="CR86">
        <v>0.62</v>
      </c>
      <c r="CS86">
        <v>0.62</v>
      </c>
      <c r="CT86">
        <v>0.62</v>
      </c>
      <c r="CU86">
        <v>296482</v>
      </c>
      <c r="CV86">
        <v>0.62</v>
      </c>
      <c r="CW86">
        <v>1</v>
      </c>
      <c r="CX86">
        <v>0.62</v>
      </c>
      <c r="CZ86">
        <v>46</v>
      </c>
      <c r="DA86">
        <v>35</v>
      </c>
      <c r="DB86">
        <v>75</v>
      </c>
      <c r="DC86">
        <v>53</v>
      </c>
      <c r="DD86" t="s">
        <v>887</v>
      </c>
      <c r="DE86" t="s">
        <v>0</v>
      </c>
      <c r="DF86">
        <f t="shared" si="2"/>
        <v>166.80000000000013</v>
      </c>
      <c r="DG86">
        <v>84</v>
      </c>
      <c r="DH86">
        <f t="shared" si="3"/>
        <v>166.80000000000013</v>
      </c>
    </row>
    <row r="87" spans="1:112" hidden="1" x14ac:dyDescent="0.35">
      <c r="A87" t="s">
        <v>1236</v>
      </c>
      <c r="D87" t="s">
        <v>454</v>
      </c>
      <c r="E87" t="s">
        <v>453</v>
      </c>
      <c r="F87" t="s">
        <v>258</v>
      </c>
      <c r="G87" t="s">
        <v>119</v>
      </c>
      <c r="J87">
        <v>356570035</v>
      </c>
      <c r="AN87" t="s">
        <v>453</v>
      </c>
      <c r="AV87" t="s">
        <v>6</v>
      </c>
      <c r="AW87" t="s">
        <v>6</v>
      </c>
      <c r="AX87">
        <v>11</v>
      </c>
      <c r="AY87">
        <v>639281</v>
      </c>
      <c r="AZ87">
        <v>5488458</v>
      </c>
      <c r="BA87">
        <v>1958.59077463316</v>
      </c>
      <c r="BB87" t="s">
        <v>562</v>
      </c>
      <c r="BC87" t="s">
        <v>1229</v>
      </c>
      <c r="BD87" t="s">
        <v>94</v>
      </c>
      <c r="BE87" t="s">
        <v>561</v>
      </c>
      <c r="BF87" t="s">
        <v>449</v>
      </c>
      <c r="BG87">
        <v>1</v>
      </c>
      <c r="BH87" t="s">
        <v>1235</v>
      </c>
      <c r="BI87">
        <v>2</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1.2199663946778001</v>
      </c>
      <c r="CL87">
        <v>1.3019751251918701</v>
      </c>
      <c r="CM87">
        <v>0</v>
      </c>
      <c r="CN87">
        <v>0</v>
      </c>
      <c r="CO87">
        <v>1.22</v>
      </c>
      <c r="CP87">
        <v>0</v>
      </c>
      <c r="CQ87">
        <v>1.3</v>
      </c>
      <c r="CR87">
        <v>0</v>
      </c>
      <c r="CS87">
        <v>1.3</v>
      </c>
      <c r="CT87">
        <v>0</v>
      </c>
      <c r="CU87">
        <v>473062</v>
      </c>
      <c r="CV87">
        <v>1.3</v>
      </c>
      <c r="CW87">
        <v>3</v>
      </c>
      <c r="CX87">
        <v>0.43333333333333302</v>
      </c>
      <c r="CZ87">
        <v>58</v>
      </c>
      <c r="DA87">
        <v>71</v>
      </c>
      <c r="DB87">
        <v>42</v>
      </c>
      <c r="DC87">
        <v>54</v>
      </c>
      <c r="DD87" t="s">
        <v>887</v>
      </c>
      <c r="DE87" t="s">
        <v>0</v>
      </c>
      <c r="DF87">
        <f t="shared" si="2"/>
        <v>167.23333333333346</v>
      </c>
      <c r="DG87">
        <v>85</v>
      </c>
      <c r="DH87">
        <f t="shared" si="3"/>
        <v>166.80000000000013</v>
      </c>
    </row>
    <row r="88" spans="1:112" hidden="1" x14ac:dyDescent="0.35">
      <c r="A88" t="s">
        <v>1234</v>
      </c>
      <c r="D88" t="s">
        <v>454</v>
      </c>
      <c r="E88" t="s">
        <v>453</v>
      </c>
      <c r="F88" t="s">
        <v>258</v>
      </c>
      <c r="G88" t="s">
        <v>119</v>
      </c>
      <c r="J88">
        <v>356570035</v>
      </c>
      <c r="AN88" t="s">
        <v>453</v>
      </c>
      <c r="AS88" t="s">
        <v>1233</v>
      </c>
      <c r="AT88">
        <v>4.3</v>
      </c>
      <c r="AU88" t="s">
        <v>1232</v>
      </c>
      <c r="AV88" t="s">
        <v>6</v>
      </c>
      <c r="AW88" t="s">
        <v>1231</v>
      </c>
      <c r="AX88">
        <v>11</v>
      </c>
      <c r="AY88">
        <v>639172</v>
      </c>
      <c r="AZ88">
        <v>5488516</v>
      </c>
      <c r="BA88">
        <v>2084.8542872614898</v>
      </c>
      <c r="BB88" t="s">
        <v>562</v>
      </c>
      <c r="BC88" t="s">
        <v>1229</v>
      </c>
      <c r="BD88" t="s">
        <v>94</v>
      </c>
      <c r="BE88" t="s">
        <v>561</v>
      </c>
      <c r="BF88" t="s">
        <v>1230</v>
      </c>
      <c r="BG88">
        <v>2</v>
      </c>
      <c r="BH88">
        <v>1024734248</v>
      </c>
      <c r="BI88">
        <v>1</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1.2199663946778001</v>
      </c>
      <c r="CL88">
        <v>1.3019751251918701</v>
      </c>
      <c r="CM88">
        <v>0.22</v>
      </c>
      <c r="CN88">
        <v>0.22</v>
      </c>
      <c r="CO88">
        <v>1.22</v>
      </c>
      <c r="CP88">
        <v>0.22</v>
      </c>
      <c r="CQ88">
        <v>1.3</v>
      </c>
      <c r="CR88">
        <v>0.22</v>
      </c>
      <c r="CS88">
        <v>1.3</v>
      </c>
      <c r="CT88">
        <v>0.22</v>
      </c>
      <c r="CU88">
        <v>473062</v>
      </c>
      <c r="CV88">
        <v>1.3</v>
      </c>
      <c r="CW88">
        <v>3</v>
      </c>
      <c r="CX88">
        <v>0.43333333333333302</v>
      </c>
      <c r="CZ88">
        <v>58</v>
      </c>
      <c r="DA88">
        <v>71</v>
      </c>
      <c r="DB88">
        <v>42</v>
      </c>
      <c r="DC88">
        <v>54</v>
      </c>
      <c r="DD88" t="s">
        <v>887</v>
      </c>
      <c r="DE88" t="s">
        <v>0</v>
      </c>
      <c r="DF88">
        <f t="shared" si="2"/>
        <v>167.6666666666668</v>
      </c>
      <c r="DG88">
        <v>86</v>
      </c>
      <c r="DH88">
        <f t="shared" si="3"/>
        <v>167.02000000000012</v>
      </c>
    </row>
    <row r="89" spans="1:112" hidden="1" x14ac:dyDescent="0.35">
      <c r="A89">
        <v>1024734248</v>
      </c>
      <c r="D89" t="s">
        <v>100</v>
      </c>
      <c r="E89" t="s">
        <v>99</v>
      </c>
      <c r="F89" t="s">
        <v>104</v>
      </c>
      <c r="G89" t="s">
        <v>103</v>
      </c>
      <c r="J89">
        <v>356570035</v>
      </c>
      <c r="AL89">
        <v>24734248</v>
      </c>
      <c r="AX89">
        <v>11</v>
      </c>
      <c r="AY89">
        <v>638996</v>
      </c>
      <c r="AZ89">
        <v>5488558</v>
      </c>
      <c r="BA89">
        <v>2303.3191943064198</v>
      </c>
      <c r="BB89" t="s">
        <v>562</v>
      </c>
      <c r="BC89" t="s">
        <v>1229</v>
      </c>
      <c r="BD89" t="s">
        <v>94</v>
      </c>
      <c r="BE89" t="s">
        <v>561</v>
      </c>
      <c r="BF89" t="s">
        <v>1228</v>
      </c>
      <c r="BG89">
        <v>3</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1.00196639467771</v>
      </c>
      <c r="CL89">
        <v>1.08397512519178</v>
      </c>
      <c r="CM89">
        <v>1</v>
      </c>
      <c r="CN89">
        <v>1.08</v>
      </c>
      <c r="CO89">
        <v>1</v>
      </c>
      <c r="CP89">
        <v>1</v>
      </c>
      <c r="CQ89">
        <v>1.08</v>
      </c>
      <c r="CR89">
        <v>1.08</v>
      </c>
      <c r="CS89">
        <v>1.08</v>
      </c>
      <c r="CT89">
        <v>1.08</v>
      </c>
      <c r="CU89">
        <v>473062</v>
      </c>
      <c r="CV89">
        <v>1.3</v>
      </c>
      <c r="CW89">
        <v>3</v>
      </c>
      <c r="CX89">
        <v>0.43333333333333302</v>
      </c>
      <c r="CZ89">
        <v>58</v>
      </c>
      <c r="DA89">
        <v>71</v>
      </c>
      <c r="DB89">
        <v>42</v>
      </c>
      <c r="DC89">
        <v>54</v>
      </c>
      <c r="DD89" t="s">
        <v>887</v>
      </c>
      <c r="DE89" t="s">
        <v>0</v>
      </c>
      <c r="DF89">
        <f t="shared" si="2"/>
        <v>168.10000000000014</v>
      </c>
      <c r="DG89">
        <v>87</v>
      </c>
      <c r="DH89">
        <f t="shared" si="3"/>
        <v>168.10000000000014</v>
      </c>
    </row>
    <row r="90" spans="1:112" hidden="1" x14ac:dyDescent="0.35">
      <c r="A90">
        <v>1004604147</v>
      </c>
      <c r="D90" t="s">
        <v>100</v>
      </c>
      <c r="E90" t="s">
        <v>99</v>
      </c>
      <c r="F90" t="s">
        <v>104</v>
      </c>
      <c r="G90" t="s">
        <v>103</v>
      </c>
      <c r="J90">
        <v>356559509</v>
      </c>
      <c r="AL90">
        <v>4604147</v>
      </c>
      <c r="AX90">
        <v>11</v>
      </c>
      <c r="AY90">
        <v>663746</v>
      </c>
      <c r="AZ90">
        <v>5539297</v>
      </c>
      <c r="BA90">
        <v>2420.39198164249</v>
      </c>
      <c r="BB90" t="s">
        <v>1227</v>
      </c>
      <c r="BC90" t="s">
        <v>1226</v>
      </c>
      <c r="BD90" t="s">
        <v>94</v>
      </c>
      <c r="BE90" t="s">
        <v>1225</v>
      </c>
      <c r="BF90" t="s">
        <v>92</v>
      </c>
      <c r="BG90">
        <v>9</v>
      </c>
      <c r="BH90">
        <v>1004604105</v>
      </c>
      <c r="BI90">
        <v>1</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0.17547412400999099</v>
      </c>
      <c r="CL90">
        <v>1.08638309914905</v>
      </c>
      <c r="CM90">
        <v>0.18</v>
      </c>
      <c r="CN90">
        <v>1.0900000000000001</v>
      </c>
      <c r="CO90">
        <v>0.18</v>
      </c>
      <c r="CP90">
        <v>0.18</v>
      </c>
      <c r="CQ90">
        <v>1.0900000000000001</v>
      </c>
      <c r="CR90">
        <v>1.0900000000000001</v>
      </c>
      <c r="CS90">
        <v>1.0900000000000001</v>
      </c>
      <c r="CT90">
        <v>1.0900000000000001</v>
      </c>
      <c r="CU90">
        <v>196202</v>
      </c>
      <c r="CV90">
        <v>1.0900000000000001</v>
      </c>
      <c r="CW90">
        <v>1</v>
      </c>
      <c r="CX90">
        <v>1.0900000000000001</v>
      </c>
      <c r="CY90" t="s">
        <v>1224</v>
      </c>
      <c r="CZ90">
        <v>30</v>
      </c>
      <c r="DA90">
        <v>62</v>
      </c>
      <c r="DB90">
        <v>52</v>
      </c>
      <c r="DC90">
        <v>55</v>
      </c>
      <c r="DD90" t="s">
        <v>887</v>
      </c>
      <c r="DE90" t="s">
        <v>0</v>
      </c>
      <c r="DF90">
        <f t="shared" si="2"/>
        <v>169.19000000000014</v>
      </c>
      <c r="DG90">
        <v>88</v>
      </c>
      <c r="DH90">
        <f t="shared" si="3"/>
        <v>169.19000000000014</v>
      </c>
    </row>
    <row r="91" spans="1:112" hidden="1" x14ac:dyDescent="0.35">
      <c r="A91">
        <v>1004605839</v>
      </c>
      <c r="D91" t="s">
        <v>100</v>
      </c>
      <c r="E91" t="s">
        <v>99</v>
      </c>
      <c r="F91" t="s">
        <v>104</v>
      </c>
      <c r="G91" t="s">
        <v>103</v>
      </c>
      <c r="J91">
        <v>356565351</v>
      </c>
      <c r="AL91">
        <v>4605839</v>
      </c>
      <c r="AX91">
        <v>11</v>
      </c>
      <c r="AY91">
        <v>643191</v>
      </c>
      <c r="AZ91">
        <v>5540045</v>
      </c>
      <c r="BA91">
        <v>3320.0483536491602</v>
      </c>
      <c r="BB91" t="s">
        <v>1223</v>
      </c>
      <c r="BC91" t="s">
        <v>1222</v>
      </c>
      <c r="BD91" t="s">
        <v>94</v>
      </c>
      <c r="BF91" t="s">
        <v>449</v>
      </c>
      <c r="BG91">
        <v>1</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0.46689801989850299</v>
      </c>
      <c r="CL91">
        <v>0.59436733743175496</v>
      </c>
      <c r="CM91">
        <v>0.47</v>
      </c>
      <c r="CN91">
        <v>0.59</v>
      </c>
      <c r="CO91">
        <v>0.47</v>
      </c>
      <c r="CP91">
        <v>0.47</v>
      </c>
      <c r="CQ91">
        <v>0.59</v>
      </c>
      <c r="CR91">
        <v>0.59</v>
      </c>
      <c r="CS91">
        <v>0.59</v>
      </c>
      <c r="CT91">
        <v>0.59</v>
      </c>
      <c r="CU91">
        <v>224542</v>
      </c>
      <c r="CV91">
        <v>0.59</v>
      </c>
      <c r="CW91">
        <v>1</v>
      </c>
      <c r="CX91">
        <v>0.59</v>
      </c>
      <c r="CZ91">
        <v>48</v>
      </c>
      <c r="DA91">
        <v>37</v>
      </c>
      <c r="DB91">
        <v>77</v>
      </c>
      <c r="DC91">
        <v>56</v>
      </c>
      <c r="DD91" t="s">
        <v>887</v>
      </c>
      <c r="DE91" t="s">
        <v>0</v>
      </c>
      <c r="DF91">
        <f t="shared" si="2"/>
        <v>169.78000000000014</v>
      </c>
      <c r="DG91">
        <v>89</v>
      </c>
      <c r="DH91">
        <f t="shared" si="3"/>
        <v>169.78000000000014</v>
      </c>
    </row>
    <row r="92" spans="1:112" s="5" customFormat="1" hidden="1" x14ac:dyDescent="0.35">
      <c r="A92" s="5">
        <v>197565</v>
      </c>
      <c r="B92" s="5">
        <v>197565</v>
      </c>
      <c r="D92" s="5" t="s">
        <v>121</v>
      </c>
      <c r="E92" s="5" t="s">
        <v>99</v>
      </c>
      <c r="F92" s="5" t="s">
        <v>104</v>
      </c>
      <c r="G92" s="5" t="s">
        <v>119</v>
      </c>
      <c r="J92" s="5">
        <v>356479984</v>
      </c>
      <c r="K92" s="5" t="s">
        <v>1219</v>
      </c>
      <c r="L92" s="5" t="s">
        <v>26</v>
      </c>
      <c r="M92" s="5" t="s">
        <v>39</v>
      </c>
      <c r="P92" s="5" t="s">
        <v>38</v>
      </c>
      <c r="Q92" s="5" t="s">
        <v>4</v>
      </c>
      <c r="V92" s="5" t="s">
        <v>51</v>
      </c>
      <c r="AE92" s="5" t="s">
        <v>969</v>
      </c>
      <c r="AI92" s="5" t="s">
        <v>1221</v>
      </c>
      <c r="AK92" s="5" t="s">
        <v>1220</v>
      </c>
      <c r="AL92" s="5">
        <v>4602270</v>
      </c>
      <c r="AM92" s="5" t="s">
        <v>114</v>
      </c>
      <c r="AN92" s="5" t="s">
        <v>113</v>
      </c>
      <c r="AP92" s="5" t="s">
        <v>1219</v>
      </c>
      <c r="AQ92" s="5" t="s">
        <v>1218</v>
      </c>
      <c r="AR92" s="6">
        <v>44094</v>
      </c>
      <c r="AX92" s="5">
        <v>11</v>
      </c>
      <c r="AY92" s="5">
        <v>655442</v>
      </c>
      <c r="AZ92" s="5">
        <v>5524171</v>
      </c>
      <c r="BA92" s="5">
        <v>1182</v>
      </c>
      <c r="BB92" s="5" t="s">
        <v>1217</v>
      </c>
      <c r="BC92" s="5" t="s">
        <v>1217</v>
      </c>
      <c r="BD92" s="5" t="s">
        <v>94</v>
      </c>
      <c r="BF92" s="5" t="s">
        <v>449</v>
      </c>
      <c r="BG92" s="5">
        <v>1</v>
      </c>
      <c r="BM92" s="5">
        <v>0</v>
      </c>
      <c r="BN92" s="5">
        <v>0</v>
      </c>
      <c r="BO92" s="5">
        <v>0</v>
      </c>
      <c r="BP92" s="5">
        <v>0</v>
      </c>
      <c r="BQ92" s="5">
        <v>0</v>
      </c>
      <c r="BR92" s="5">
        <v>0</v>
      </c>
      <c r="BS92" s="5">
        <v>0</v>
      </c>
      <c r="BT92" s="5">
        <v>0</v>
      </c>
      <c r="BU92" s="5">
        <v>0</v>
      </c>
      <c r="BV92" s="5">
        <v>0</v>
      </c>
      <c r="BW92" s="5">
        <v>0</v>
      </c>
      <c r="BX92" s="5">
        <v>0</v>
      </c>
      <c r="BY92" s="5">
        <v>0</v>
      </c>
      <c r="BZ92" s="5">
        <v>0</v>
      </c>
      <c r="CA92" s="5">
        <v>0</v>
      </c>
      <c r="CB92" s="5">
        <v>0</v>
      </c>
      <c r="CC92" s="5">
        <v>0</v>
      </c>
      <c r="CD92" s="5">
        <v>0</v>
      </c>
      <c r="CE92" s="5">
        <v>0</v>
      </c>
      <c r="CF92" s="5">
        <v>0</v>
      </c>
      <c r="CG92" s="5">
        <v>0</v>
      </c>
      <c r="CH92" s="5">
        <v>0</v>
      </c>
      <c r="CI92" s="5">
        <v>0</v>
      </c>
      <c r="CJ92" s="5">
        <v>0</v>
      </c>
      <c r="CK92" s="5">
        <v>0</v>
      </c>
      <c r="CL92" s="5">
        <v>0.58903830501756804</v>
      </c>
      <c r="CM92" s="5">
        <v>0</v>
      </c>
      <c r="CN92" s="5">
        <v>0.59</v>
      </c>
      <c r="CO92" s="5">
        <v>0</v>
      </c>
      <c r="CP92" s="5">
        <v>0</v>
      </c>
      <c r="CQ92" s="5">
        <v>0.59</v>
      </c>
      <c r="CR92" s="5">
        <v>0.59</v>
      </c>
      <c r="CS92" s="5">
        <v>0.59</v>
      </c>
      <c r="CT92" s="5">
        <v>0.59</v>
      </c>
      <c r="CU92" s="5">
        <v>388042</v>
      </c>
      <c r="CV92" s="5">
        <v>0.59</v>
      </c>
      <c r="CW92" s="5">
        <v>1</v>
      </c>
      <c r="CX92" s="5">
        <v>0.59</v>
      </c>
      <c r="CZ92" s="5">
        <v>48</v>
      </c>
      <c r="DA92" s="5">
        <v>36</v>
      </c>
      <c r="DB92" s="5">
        <v>78</v>
      </c>
      <c r="DC92" s="5">
        <v>57</v>
      </c>
      <c r="DD92" s="5" t="s">
        <v>887</v>
      </c>
      <c r="DE92" s="5" t="s">
        <v>0</v>
      </c>
      <c r="DF92" s="5">
        <f t="shared" si="2"/>
        <v>170.37000000000015</v>
      </c>
      <c r="DG92" s="5">
        <v>90</v>
      </c>
      <c r="DH92" s="5">
        <f t="shared" si="3"/>
        <v>170.37000000000015</v>
      </c>
    </row>
    <row r="93" spans="1:112" s="5" customFormat="1" hidden="1" x14ac:dyDescent="0.35">
      <c r="A93" s="5">
        <v>197578</v>
      </c>
      <c r="B93" s="5">
        <v>197578</v>
      </c>
      <c r="D93" s="5" t="s">
        <v>121</v>
      </c>
      <c r="E93" s="5" t="s">
        <v>99</v>
      </c>
      <c r="F93" s="5" t="s">
        <v>104</v>
      </c>
      <c r="G93" s="5" t="s">
        <v>119</v>
      </c>
      <c r="J93" s="5">
        <v>356488628</v>
      </c>
      <c r="K93" s="5" t="s">
        <v>19</v>
      </c>
      <c r="L93" s="5" t="s">
        <v>1213</v>
      </c>
      <c r="M93" s="5" t="s">
        <v>39</v>
      </c>
      <c r="N93" s="5" t="s">
        <v>6</v>
      </c>
      <c r="P93" s="5" t="s">
        <v>38</v>
      </c>
      <c r="Q93" s="5" t="s">
        <v>37</v>
      </c>
      <c r="T93" s="5" t="s">
        <v>1157</v>
      </c>
      <c r="V93" s="5" t="s">
        <v>149</v>
      </c>
      <c r="AE93" s="5" t="s">
        <v>35</v>
      </c>
      <c r="AI93" s="5" t="s">
        <v>1216</v>
      </c>
      <c r="AJ93" s="5" t="s">
        <v>1215</v>
      </c>
      <c r="AK93" s="5" t="s">
        <v>1214</v>
      </c>
      <c r="AL93" s="5">
        <v>4602349</v>
      </c>
      <c r="AM93" s="5" t="s">
        <v>114</v>
      </c>
      <c r="AN93" s="5" t="s">
        <v>113</v>
      </c>
      <c r="AO93" s="5" t="s">
        <v>1213</v>
      </c>
      <c r="AP93" s="5" t="s">
        <v>606</v>
      </c>
      <c r="AQ93" s="5" t="s">
        <v>1212</v>
      </c>
      <c r="AR93" s="6">
        <v>45525</v>
      </c>
      <c r="AX93" s="5">
        <v>11</v>
      </c>
      <c r="AY93" s="5">
        <v>638530</v>
      </c>
      <c r="AZ93" s="5">
        <v>5481504</v>
      </c>
      <c r="BA93" s="5">
        <v>836</v>
      </c>
      <c r="BB93" s="5" t="s">
        <v>151</v>
      </c>
      <c r="BC93" s="5" t="s">
        <v>1211</v>
      </c>
      <c r="BD93" s="5" t="s">
        <v>94</v>
      </c>
      <c r="BF93" s="5" t="s">
        <v>376</v>
      </c>
      <c r="BG93" s="5">
        <v>2</v>
      </c>
      <c r="BM93" s="5">
        <v>0</v>
      </c>
      <c r="BN93" s="5">
        <v>0</v>
      </c>
      <c r="BO93" s="5">
        <v>0</v>
      </c>
      <c r="BP93" s="5">
        <v>0</v>
      </c>
      <c r="BQ93" s="5">
        <v>0</v>
      </c>
      <c r="BR93" s="5">
        <v>0</v>
      </c>
      <c r="BS93" s="5">
        <v>0</v>
      </c>
      <c r="BT93" s="5">
        <v>0</v>
      </c>
      <c r="BU93" s="5">
        <v>0</v>
      </c>
      <c r="BV93" s="5">
        <v>0</v>
      </c>
      <c r="BW93" s="5">
        <v>0</v>
      </c>
      <c r="BX93" s="5">
        <v>0</v>
      </c>
      <c r="BY93" s="5">
        <v>0</v>
      </c>
      <c r="BZ93" s="5">
        <v>0</v>
      </c>
      <c r="CA93" s="5">
        <v>0</v>
      </c>
      <c r="CB93" s="5">
        <v>0</v>
      </c>
      <c r="CC93" s="5">
        <v>0</v>
      </c>
      <c r="CD93" s="5">
        <v>0</v>
      </c>
      <c r="CE93" s="5">
        <v>0</v>
      </c>
      <c r="CF93" s="5">
        <v>0</v>
      </c>
      <c r="CG93" s="5">
        <v>0</v>
      </c>
      <c r="CH93" s="5">
        <v>0</v>
      </c>
      <c r="CI93" s="5">
        <v>0</v>
      </c>
      <c r="CJ93" s="5">
        <v>0</v>
      </c>
      <c r="CK93" s="5">
        <v>0</v>
      </c>
      <c r="CL93" s="5">
        <v>0.66267660211327695</v>
      </c>
      <c r="CM93" s="5">
        <v>0</v>
      </c>
      <c r="CN93" s="5">
        <v>0.66</v>
      </c>
      <c r="CO93" s="5">
        <v>0</v>
      </c>
      <c r="CP93" s="5">
        <v>0</v>
      </c>
      <c r="CQ93" s="5">
        <v>0.66</v>
      </c>
      <c r="CR93" s="5">
        <v>0.66</v>
      </c>
      <c r="CS93" s="5">
        <v>0.66</v>
      </c>
      <c r="CT93" s="5">
        <v>0.66</v>
      </c>
      <c r="CU93" s="5">
        <v>396762</v>
      </c>
      <c r="CV93" s="5">
        <v>0.66</v>
      </c>
      <c r="CW93" s="5">
        <v>1</v>
      </c>
      <c r="CX93" s="5">
        <v>0.66</v>
      </c>
      <c r="CY93" s="5" t="s">
        <v>1210</v>
      </c>
      <c r="CZ93" s="5">
        <v>44</v>
      </c>
      <c r="DA93" s="5">
        <v>48</v>
      </c>
      <c r="DB93" s="5">
        <v>67</v>
      </c>
      <c r="DC93" s="5">
        <v>58</v>
      </c>
      <c r="DD93" s="5" t="s">
        <v>887</v>
      </c>
      <c r="DE93" s="5" t="s">
        <v>0</v>
      </c>
      <c r="DF93" s="5">
        <f t="shared" si="2"/>
        <v>171.03000000000014</v>
      </c>
      <c r="DG93" s="5">
        <v>91</v>
      </c>
      <c r="DH93" s="5">
        <f t="shared" si="3"/>
        <v>171.03000000000014</v>
      </c>
    </row>
    <row r="94" spans="1:112" hidden="1" x14ac:dyDescent="0.35">
      <c r="A94">
        <v>1004602324</v>
      </c>
      <c r="D94" t="s">
        <v>100</v>
      </c>
      <c r="E94" t="s">
        <v>99</v>
      </c>
      <c r="F94" t="s">
        <v>104</v>
      </c>
      <c r="G94" t="s">
        <v>103</v>
      </c>
      <c r="J94">
        <v>356562897</v>
      </c>
      <c r="AL94">
        <v>4602324</v>
      </c>
      <c r="AX94">
        <v>11</v>
      </c>
      <c r="AY94">
        <v>651855</v>
      </c>
      <c r="AZ94">
        <v>5521137</v>
      </c>
      <c r="BA94">
        <v>150.49785199252801</v>
      </c>
      <c r="BB94" t="s">
        <v>110</v>
      </c>
      <c r="BC94" t="s">
        <v>110</v>
      </c>
      <c r="BD94" t="s">
        <v>94</v>
      </c>
      <c r="BE94" t="s">
        <v>109</v>
      </c>
      <c r="BF94" t="s">
        <v>227</v>
      </c>
      <c r="BG94">
        <v>4</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0.89600000000005298</v>
      </c>
      <c r="CM94">
        <v>0</v>
      </c>
      <c r="CN94">
        <v>0.9</v>
      </c>
      <c r="CO94">
        <v>0</v>
      </c>
      <c r="CP94">
        <v>0</v>
      </c>
      <c r="CQ94">
        <v>0.9</v>
      </c>
      <c r="CR94">
        <v>0.9</v>
      </c>
      <c r="CS94">
        <v>0.9</v>
      </c>
      <c r="CT94">
        <v>0.9</v>
      </c>
      <c r="CU94">
        <v>156962</v>
      </c>
      <c r="CV94">
        <v>0.9</v>
      </c>
      <c r="CW94">
        <v>1</v>
      </c>
      <c r="CX94">
        <v>0.9</v>
      </c>
      <c r="CY94" t="s">
        <v>1209</v>
      </c>
      <c r="CZ94">
        <v>34</v>
      </c>
      <c r="DA94">
        <v>59</v>
      </c>
      <c r="DB94">
        <v>58</v>
      </c>
      <c r="DC94">
        <v>59</v>
      </c>
      <c r="DD94" t="s">
        <v>887</v>
      </c>
      <c r="DE94" t="s">
        <v>0</v>
      </c>
      <c r="DF94">
        <f t="shared" si="2"/>
        <v>171.93000000000015</v>
      </c>
      <c r="DG94">
        <v>92</v>
      </c>
      <c r="DH94">
        <f t="shared" si="3"/>
        <v>171.93000000000015</v>
      </c>
    </row>
    <row r="95" spans="1:112" hidden="1" x14ac:dyDescent="0.35">
      <c r="A95">
        <v>1004600835</v>
      </c>
      <c r="D95" t="s">
        <v>100</v>
      </c>
      <c r="E95" t="s">
        <v>99</v>
      </c>
      <c r="F95" t="s">
        <v>104</v>
      </c>
      <c r="G95" t="s">
        <v>103</v>
      </c>
      <c r="J95">
        <v>356565783</v>
      </c>
      <c r="AL95">
        <v>4600835</v>
      </c>
      <c r="AX95">
        <v>11</v>
      </c>
      <c r="AY95">
        <v>668835</v>
      </c>
      <c r="AZ95">
        <v>5480859</v>
      </c>
      <c r="BA95">
        <v>48825.549012673</v>
      </c>
      <c r="BB95" t="s">
        <v>329</v>
      </c>
      <c r="BC95" t="s">
        <v>308</v>
      </c>
      <c r="BD95" t="s">
        <v>94</v>
      </c>
      <c r="BE95" t="s">
        <v>23</v>
      </c>
      <c r="BF95" t="s">
        <v>327</v>
      </c>
      <c r="BG95">
        <v>2</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0.64171567852886402</v>
      </c>
      <c r="CM95">
        <v>0</v>
      </c>
      <c r="CN95">
        <v>0.64</v>
      </c>
      <c r="CO95">
        <v>0</v>
      </c>
      <c r="CP95">
        <v>0</v>
      </c>
      <c r="CQ95">
        <v>0.64</v>
      </c>
      <c r="CR95">
        <v>0.64</v>
      </c>
      <c r="CS95">
        <v>0.64</v>
      </c>
      <c r="CT95">
        <v>0.64</v>
      </c>
      <c r="CU95">
        <v>359703</v>
      </c>
      <c r="CV95">
        <v>0.64</v>
      </c>
      <c r="CW95">
        <v>1</v>
      </c>
      <c r="CX95">
        <v>0.64</v>
      </c>
      <c r="CY95" t="s">
        <v>1047</v>
      </c>
      <c r="CZ95">
        <v>45</v>
      </c>
      <c r="DA95">
        <v>49</v>
      </c>
      <c r="DB95">
        <v>71</v>
      </c>
      <c r="DC95">
        <v>60</v>
      </c>
      <c r="DD95" t="s">
        <v>887</v>
      </c>
      <c r="DE95" t="s">
        <v>0</v>
      </c>
      <c r="DF95">
        <f t="shared" si="2"/>
        <v>172.57000000000014</v>
      </c>
      <c r="DG95">
        <v>93</v>
      </c>
      <c r="DH95">
        <f t="shared" si="3"/>
        <v>172.57000000000014</v>
      </c>
    </row>
    <row r="96" spans="1:112" s="5" customFormat="1" hidden="1" x14ac:dyDescent="0.35">
      <c r="A96" s="5">
        <v>197583</v>
      </c>
      <c r="B96" s="5">
        <v>197583</v>
      </c>
      <c r="D96" s="5" t="s">
        <v>121</v>
      </c>
      <c r="E96" s="5" t="s">
        <v>120</v>
      </c>
      <c r="F96" s="5" t="s">
        <v>104</v>
      </c>
      <c r="G96" s="5" t="s">
        <v>103</v>
      </c>
      <c r="H96" s="5" t="s">
        <v>525</v>
      </c>
      <c r="J96" s="5">
        <v>356482509</v>
      </c>
      <c r="K96" s="5" t="s">
        <v>912</v>
      </c>
      <c r="L96" s="5" t="s">
        <v>676</v>
      </c>
      <c r="M96" s="5" t="s">
        <v>39</v>
      </c>
      <c r="N96" s="5" t="s">
        <v>970</v>
      </c>
      <c r="P96" s="5" t="s">
        <v>38</v>
      </c>
      <c r="Q96" s="5" t="s">
        <v>37</v>
      </c>
      <c r="AE96" s="5" t="s">
        <v>35</v>
      </c>
      <c r="AI96" s="5" t="s">
        <v>1208</v>
      </c>
      <c r="AJ96" s="5" t="s">
        <v>1207</v>
      </c>
      <c r="AK96" s="5" t="s">
        <v>1206</v>
      </c>
      <c r="AL96" s="5">
        <v>4600158</v>
      </c>
      <c r="AM96" s="5" t="s">
        <v>114</v>
      </c>
      <c r="AN96" s="5" t="s">
        <v>113</v>
      </c>
      <c r="AO96" s="5" t="s">
        <v>676</v>
      </c>
      <c r="AP96" s="5" t="s">
        <v>912</v>
      </c>
      <c r="AQ96" s="5" t="s">
        <v>1205</v>
      </c>
      <c r="AR96" s="6">
        <v>45517</v>
      </c>
      <c r="AX96" s="5">
        <v>11</v>
      </c>
      <c r="AY96" s="5">
        <v>642622</v>
      </c>
      <c r="AZ96" s="5">
        <v>5489869</v>
      </c>
      <c r="BA96" s="5">
        <v>1695</v>
      </c>
      <c r="BB96" s="5" t="s">
        <v>914</v>
      </c>
      <c r="BC96" s="5" t="s">
        <v>914</v>
      </c>
      <c r="BD96" s="5" t="s">
        <v>94</v>
      </c>
      <c r="BE96" s="5" t="s">
        <v>912</v>
      </c>
      <c r="BF96" s="5" t="s">
        <v>449</v>
      </c>
      <c r="BG96" s="5">
        <v>1</v>
      </c>
      <c r="BH96" s="5" t="s">
        <v>1204</v>
      </c>
      <c r="BI96" s="5">
        <v>3</v>
      </c>
      <c r="BM96" s="5">
        <v>0</v>
      </c>
      <c r="BN96" s="5">
        <v>0</v>
      </c>
      <c r="BO96" s="5">
        <v>0</v>
      </c>
      <c r="BP96" s="5">
        <v>0</v>
      </c>
      <c r="BQ96" s="5">
        <v>0</v>
      </c>
      <c r="BR96" s="5">
        <v>0</v>
      </c>
      <c r="BS96" s="5">
        <v>0</v>
      </c>
      <c r="BT96" s="5">
        <v>0</v>
      </c>
      <c r="BU96" s="5">
        <v>0</v>
      </c>
      <c r="BV96" s="5">
        <v>0</v>
      </c>
      <c r="BW96" s="5">
        <v>0</v>
      </c>
      <c r="BX96" s="5">
        <v>0</v>
      </c>
      <c r="BY96" s="5">
        <v>0</v>
      </c>
      <c r="BZ96" s="5">
        <v>0</v>
      </c>
      <c r="CA96" s="5">
        <v>0</v>
      </c>
      <c r="CB96" s="5">
        <v>0</v>
      </c>
      <c r="CC96" s="5">
        <v>0</v>
      </c>
      <c r="CD96" s="5">
        <v>0</v>
      </c>
      <c r="CE96" s="5">
        <v>0</v>
      </c>
      <c r="CF96" s="5">
        <v>0</v>
      </c>
      <c r="CG96" s="5">
        <v>0</v>
      </c>
      <c r="CH96" s="5">
        <v>0</v>
      </c>
      <c r="CI96" s="5">
        <v>0</v>
      </c>
      <c r="CJ96" s="5">
        <v>0</v>
      </c>
      <c r="CK96" s="5">
        <v>0</v>
      </c>
      <c r="CL96" s="5">
        <v>0.91077015677539896</v>
      </c>
      <c r="CM96" s="5">
        <v>0</v>
      </c>
      <c r="CN96" s="5">
        <v>0.49</v>
      </c>
      <c r="CO96" s="5">
        <v>0</v>
      </c>
      <c r="CP96" s="5">
        <v>0</v>
      </c>
      <c r="CQ96" s="5">
        <v>0.91</v>
      </c>
      <c r="CR96" s="5">
        <v>0.49</v>
      </c>
      <c r="CS96" s="5">
        <v>0.91</v>
      </c>
      <c r="CT96" s="5">
        <v>0.49</v>
      </c>
      <c r="CU96" s="5">
        <v>405482</v>
      </c>
      <c r="CV96" s="5">
        <v>0.49</v>
      </c>
      <c r="CW96" s="5">
        <v>1</v>
      </c>
      <c r="CX96" s="5">
        <v>0.49</v>
      </c>
      <c r="CZ96" s="5">
        <v>52</v>
      </c>
      <c r="DA96" s="5">
        <v>66</v>
      </c>
      <c r="DB96" s="5">
        <v>57</v>
      </c>
      <c r="DC96" s="5">
        <v>61</v>
      </c>
      <c r="DD96" s="5" t="s">
        <v>887</v>
      </c>
      <c r="DE96" s="5" t="s">
        <v>0</v>
      </c>
      <c r="DF96" s="5">
        <f t="shared" si="2"/>
        <v>173.06000000000014</v>
      </c>
      <c r="DG96" s="5">
        <v>94</v>
      </c>
      <c r="DH96" s="5">
        <f t="shared" si="3"/>
        <v>173.06000000000014</v>
      </c>
    </row>
    <row r="97" spans="1:112" hidden="1" x14ac:dyDescent="0.35">
      <c r="A97">
        <v>1004600085</v>
      </c>
      <c r="D97" t="s">
        <v>100</v>
      </c>
      <c r="E97" t="s">
        <v>120</v>
      </c>
      <c r="F97" t="s">
        <v>104</v>
      </c>
      <c r="G97" t="s">
        <v>103</v>
      </c>
      <c r="H97" t="s">
        <v>525</v>
      </c>
      <c r="J97">
        <v>356552342</v>
      </c>
      <c r="AL97">
        <v>4600085</v>
      </c>
      <c r="AX97">
        <v>11</v>
      </c>
      <c r="AY97">
        <v>649304</v>
      </c>
      <c r="AZ97">
        <v>5498848</v>
      </c>
      <c r="BA97">
        <v>3233.6776152756702</v>
      </c>
      <c r="BB97" t="s">
        <v>993</v>
      </c>
      <c r="BC97" t="s">
        <v>992</v>
      </c>
      <c r="BD97" t="s">
        <v>94</v>
      </c>
      <c r="BF97" t="s">
        <v>449</v>
      </c>
      <c r="BG97">
        <v>1</v>
      </c>
      <c r="BH97" t="s">
        <v>1203</v>
      </c>
      <c r="BI97">
        <v>2</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1.0930000000001601</v>
      </c>
      <c r="CL97">
        <v>1.0930000000001601</v>
      </c>
      <c r="CM97">
        <v>0.38</v>
      </c>
      <c r="CN97">
        <v>0.38</v>
      </c>
      <c r="CO97">
        <v>1.0900000000000001</v>
      </c>
      <c r="CP97">
        <v>0.37</v>
      </c>
      <c r="CQ97">
        <v>1.0900000000000001</v>
      </c>
      <c r="CR97">
        <v>0.37</v>
      </c>
      <c r="CS97">
        <v>1.0900000000000001</v>
      </c>
      <c r="CT97">
        <v>0.37</v>
      </c>
      <c r="CU97">
        <v>28342</v>
      </c>
      <c r="CV97">
        <v>0.76</v>
      </c>
      <c r="CW97">
        <v>2</v>
      </c>
      <c r="CX97">
        <v>0.38</v>
      </c>
      <c r="CZ97">
        <v>62</v>
      </c>
      <c r="DA97">
        <v>75</v>
      </c>
      <c r="DB97">
        <v>53</v>
      </c>
      <c r="DC97">
        <v>62</v>
      </c>
      <c r="DD97" t="s">
        <v>887</v>
      </c>
      <c r="DE97" t="s">
        <v>0</v>
      </c>
      <c r="DF97">
        <f t="shared" si="2"/>
        <v>173.44000000000014</v>
      </c>
      <c r="DG97">
        <v>95</v>
      </c>
      <c r="DH97">
        <f t="shared" si="3"/>
        <v>173.43000000000015</v>
      </c>
    </row>
    <row r="98" spans="1:112" hidden="1" x14ac:dyDescent="0.35">
      <c r="A98">
        <v>1004606785</v>
      </c>
      <c r="D98" t="s">
        <v>100</v>
      </c>
      <c r="E98" t="s">
        <v>180</v>
      </c>
      <c r="F98" t="s">
        <v>104</v>
      </c>
      <c r="G98" t="s">
        <v>103</v>
      </c>
      <c r="I98" t="s">
        <v>7</v>
      </c>
      <c r="J98">
        <v>356552342</v>
      </c>
      <c r="AL98">
        <v>4606785</v>
      </c>
      <c r="AX98">
        <v>11</v>
      </c>
      <c r="AY98">
        <v>649532</v>
      </c>
      <c r="AZ98">
        <v>5499066</v>
      </c>
      <c r="BA98">
        <v>3610.2091702316702</v>
      </c>
      <c r="BB98" t="s">
        <v>993</v>
      </c>
      <c r="BC98" t="s">
        <v>992</v>
      </c>
      <c r="BD98" t="s">
        <v>94</v>
      </c>
      <c r="BF98" t="s">
        <v>1202</v>
      </c>
      <c r="BG98">
        <v>2</v>
      </c>
      <c r="BH98">
        <v>1024734736</v>
      </c>
      <c r="BI98">
        <v>1</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0.71700000000014896</v>
      </c>
      <c r="CL98">
        <v>0.71700000000014896</v>
      </c>
      <c r="CM98">
        <v>0.39</v>
      </c>
      <c r="CN98">
        <v>0.39</v>
      </c>
      <c r="CO98">
        <v>0.72</v>
      </c>
      <c r="CP98">
        <v>0.39</v>
      </c>
      <c r="CQ98">
        <v>0.72</v>
      </c>
      <c r="CR98">
        <v>0.39</v>
      </c>
      <c r="CS98">
        <v>0.72</v>
      </c>
      <c r="CT98">
        <v>0.39</v>
      </c>
      <c r="CU98">
        <v>28342</v>
      </c>
      <c r="CV98">
        <v>0.76</v>
      </c>
      <c r="CW98">
        <v>2</v>
      </c>
      <c r="CX98">
        <v>0.38</v>
      </c>
      <c r="CZ98">
        <v>62</v>
      </c>
      <c r="DA98">
        <v>75</v>
      </c>
      <c r="DB98">
        <v>53</v>
      </c>
      <c r="DC98">
        <v>62</v>
      </c>
      <c r="DD98" t="s">
        <v>887</v>
      </c>
      <c r="DE98" t="s">
        <v>0</v>
      </c>
      <c r="DF98">
        <f t="shared" si="2"/>
        <v>173.82000000000014</v>
      </c>
      <c r="DG98">
        <v>96</v>
      </c>
      <c r="DH98">
        <f t="shared" si="3"/>
        <v>173.82000000000014</v>
      </c>
    </row>
    <row r="99" spans="1:112" hidden="1" x14ac:dyDescent="0.35">
      <c r="A99">
        <v>1024734250</v>
      </c>
      <c r="D99" t="s">
        <v>100</v>
      </c>
      <c r="E99" t="s">
        <v>99</v>
      </c>
      <c r="F99" t="s">
        <v>104</v>
      </c>
      <c r="G99" t="s">
        <v>103</v>
      </c>
      <c r="J99">
        <v>356526819</v>
      </c>
      <c r="AL99">
        <v>24734250</v>
      </c>
      <c r="AX99">
        <v>11</v>
      </c>
      <c r="AY99">
        <v>640849</v>
      </c>
      <c r="AZ99">
        <v>5487267</v>
      </c>
      <c r="BA99">
        <v>123.486195923257</v>
      </c>
      <c r="BB99" t="s">
        <v>891</v>
      </c>
      <c r="BC99" t="s">
        <v>891</v>
      </c>
      <c r="BD99" t="s">
        <v>94</v>
      </c>
      <c r="BF99" t="s">
        <v>449</v>
      </c>
      <c r="BG99">
        <v>1</v>
      </c>
      <c r="BH99" t="s">
        <v>1201</v>
      </c>
      <c r="BI99">
        <v>4</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1.13719675765576</v>
      </c>
      <c r="CM99">
        <v>0</v>
      </c>
      <c r="CN99">
        <v>0.14000000000000001</v>
      </c>
      <c r="CO99">
        <v>0</v>
      </c>
      <c r="CP99">
        <v>0</v>
      </c>
      <c r="CQ99">
        <v>1.1399999999999999</v>
      </c>
      <c r="CR99">
        <v>0.14000000000000001</v>
      </c>
      <c r="CS99">
        <v>1.1399999999999999</v>
      </c>
      <c r="CT99">
        <v>0.14000000000000001</v>
      </c>
      <c r="CU99">
        <v>313922</v>
      </c>
      <c r="CV99">
        <v>0.72</v>
      </c>
      <c r="CW99">
        <v>2</v>
      </c>
      <c r="CX99">
        <v>0.36</v>
      </c>
      <c r="CZ99">
        <v>67</v>
      </c>
      <c r="DA99">
        <v>80</v>
      </c>
      <c r="DB99">
        <v>48</v>
      </c>
      <c r="DC99">
        <v>63</v>
      </c>
      <c r="DD99" t="s">
        <v>887</v>
      </c>
      <c r="DE99" t="s">
        <v>0</v>
      </c>
      <c r="DF99">
        <f t="shared" si="2"/>
        <v>174.18000000000015</v>
      </c>
      <c r="DG99">
        <v>97</v>
      </c>
      <c r="DH99">
        <f t="shared" si="3"/>
        <v>173.96000000000012</v>
      </c>
    </row>
    <row r="100" spans="1:112" hidden="1" x14ac:dyDescent="0.35">
      <c r="A100">
        <v>1024734251</v>
      </c>
      <c r="D100" t="s">
        <v>100</v>
      </c>
      <c r="E100" t="s">
        <v>99</v>
      </c>
      <c r="F100" t="s">
        <v>104</v>
      </c>
      <c r="G100" t="s">
        <v>103</v>
      </c>
      <c r="J100">
        <v>356526819</v>
      </c>
      <c r="AL100">
        <v>24734251</v>
      </c>
      <c r="AX100">
        <v>11</v>
      </c>
      <c r="AY100">
        <v>640794</v>
      </c>
      <c r="AZ100">
        <v>5487140</v>
      </c>
      <c r="BA100">
        <v>263.86299573276801</v>
      </c>
      <c r="BB100" t="s">
        <v>891</v>
      </c>
      <c r="BC100" t="s">
        <v>891</v>
      </c>
      <c r="BD100" t="s">
        <v>94</v>
      </c>
      <c r="BF100" t="s">
        <v>1200</v>
      </c>
      <c r="BG100">
        <v>2</v>
      </c>
      <c r="BH100" t="s">
        <v>1199</v>
      </c>
      <c r="BI100">
        <v>3</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0.99619675765580795</v>
      </c>
      <c r="CM100">
        <v>0</v>
      </c>
      <c r="CN100">
        <v>0.57999999999999996</v>
      </c>
      <c r="CO100">
        <v>0</v>
      </c>
      <c r="CP100">
        <v>0</v>
      </c>
      <c r="CQ100">
        <v>1</v>
      </c>
      <c r="CR100">
        <v>0.57999999999999996</v>
      </c>
      <c r="CS100">
        <v>1</v>
      </c>
      <c r="CT100">
        <v>0.57999999999999996</v>
      </c>
      <c r="CU100">
        <v>313922</v>
      </c>
      <c r="CV100">
        <v>0.72</v>
      </c>
      <c r="CW100">
        <v>2</v>
      </c>
      <c r="CX100">
        <v>0.36</v>
      </c>
      <c r="CZ100">
        <v>67</v>
      </c>
      <c r="DA100">
        <v>80</v>
      </c>
      <c r="DB100">
        <v>48</v>
      </c>
      <c r="DC100">
        <v>63</v>
      </c>
      <c r="DD100" t="s">
        <v>887</v>
      </c>
      <c r="DE100" t="s">
        <v>0</v>
      </c>
      <c r="DF100">
        <f t="shared" si="2"/>
        <v>174.54000000000016</v>
      </c>
      <c r="DG100">
        <v>98</v>
      </c>
      <c r="DH100">
        <f t="shared" si="3"/>
        <v>174.54000000000013</v>
      </c>
    </row>
    <row r="101" spans="1:112" hidden="1" x14ac:dyDescent="0.35">
      <c r="A101">
        <v>1004606741</v>
      </c>
      <c r="D101" t="s">
        <v>100</v>
      </c>
      <c r="E101" t="s">
        <v>180</v>
      </c>
      <c r="F101" t="s">
        <v>104</v>
      </c>
      <c r="G101" t="s">
        <v>103</v>
      </c>
      <c r="I101" t="s">
        <v>7</v>
      </c>
      <c r="J101">
        <v>356512055</v>
      </c>
      <c r="AL101">
        <v>4606741</v>
      </c>
      <c r="AX101">
        <v>11</v>
      </c>
      <c r="AY101">
        <v>662077</v>
      </c>
      <c r="AZ101">
        <v>5493056</v>
      </c>
      <c r="BA101">
        <v>137.91812954331999</v>
      </c>
      <c r="BB101" t="s">
        <v>1196</v>
      </c>
      <c r="BC101" t="s">
        <v>1196</v>
      </c>
      <c r="BD101" t="s">
        <v>94</v>
      </c>
      <c r="BF101" t="s">
        <v>449</v>
      </c>
      <c r="BG101">
        <v>1</v>
      </c>
      <c r="BH101" t="s">
        <v>1198</v>
      </c>
      <c r="BI101">
        <v>2</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1.1020000000000401</v>
      </c>
      <c r="CM101">
        <v>0</v>
      </c>
      <c r="CN101">
        <v>0.03</v>
      </c>
      <c r="CO101">
        <v>0</v>
      </c>
      <c r="CP101">
        <v>0</v>
      </c>
      <c r="CQ101">
        <v>1.1000000000000001</v>
      </c>
      <c r="CR101">
        <v>0.03</v>
      </c>
      <c r="CS101">
        <v>1.1000000000000001</v>
      </c>
      <c r="CT101">
        <v>0.03</v>
      </c>
      <c r="CU101">
        <v>274682</v>
      </c>
      <c r="CV101">
        <v>1.1000000000000001</v>
      </c>
      <c r="CW101">
        <v>3</v>
      </c>
      <c r="CX101">
        <v>0.36666666666666697</v>
      </c>
      <c r="CZ101">
        <v>66</v>
      </c>
      <c r="DA101">
        <v>79</v>
      </c>
      <c r="DB101">
        <v>50</v>
      </c>
      <c r="DC101">
        <v>64</v>
      </c>
      <c r="DD101" t="s">
        <v>887</v>
      </c>
      <c r="DE101" t="s">
        <v>0</v>
      </c>
      <c r="DF101">
        <f t="shared" si="2"/>
        <v>174.90666666666684</v>
      </c>
      <c r="DG101">
        <v>99</v>
      </c>
      <c r="DH101">
        <f t="shared" si="3"/>
        <v>174.57000000000014</v>
      </c>
    </row>
    <row r="102" spans="1:112" hidden="1" x14ac:dyDescent="0.35">
      <c r="A102">
        <v>1004600120</v>
      </c>
      <c r="D102" t="s">
        <v>100</v>
      </c>
      <c r="E102" t="s">
        <v>120</v>
      </c>
      <c r="F102" t="s">
        <v>104</v>
      </c>
      <c r="G102" t="s">
        <v>103</v>
      </c>
      <c r="H102" t="s">
        <v>762</v>
      </c>
      <c r="J102">
        <v>356512055</v>
      </c>
      <c r="AL102">
        <v>4600120</v>
      </c>
      <c r="AX102">
        <v>11</v>
      </c>
      <c r="AY102">
        <v>662104</v>
      </c>
      <c r="AZ102">
        <v>5493070</v>
      </c>
      <c r="BA102">
        <v>169.869765707044</v>
      </c>
      <c r="BB102" t="s">
        <v>1196</v>
      </c>
      <c r="BC102" t="s">
        <v>1196</v>
      </c>
      <c r="BD102" t="s">
        <v>94</v>
      </c>
      <c r="BF102" t="s">
        <v>1197</v>
      </c>
      <c r="BG102">
        <v>2</v>
      </c>
      <c r="BH102">
        <v>1004606908</v>
      </c>
      <c r="BI102">
        <v>1</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1.07000000000004</v>
      </c>
      <c r="CM102">
        <v>0</v>
      </c>
      <c r="CN102">
        <v>0.67</v>
      </c>
      <c r="CO102">
        <v>0</v>
      </c>
      <c r="CP102">
        <v>0</v>
      </c>
      <c r="CQ102">
        <v>1.07</v>
      </c>
      <c r="CR102">
        <v>0.67</v>
      </c>
      <c r="CS102">
        <v>1.07</v>
      </c>
      <c r="CT102">
        <v>0.67</v>
      </c>
      <c r="CU102">
        <v>274682</v>
      </c>
      <c r="CV102">
        <v>1.1000000000000001</v>
      </c>
      <c r="CW102">
        <v>3</v>
      </c>
      <c r="CX102">
        <v>0.36666666666666697</v>
      </c>
      <c r="CZ102">
        <v>66</v>
      </c>
      <c r="DA102">
        <v>79</v>
      </c>
      <c r="DB102">
        <v>50</v>
      </c>
      <c r="DC102">
        <v>64</v>
      </c>
      <c r="DD102" t="s">
        <v>887</v>
      </c>
      <c r="DE102" t="s">
        <v>0</v>
      </c>
      <c r="DF102">
        <f t="shared" si="2"/>
        <v>175.27333333333351</v>
      </c>
      <c r="DG102">
        <v>100</v>
      </c>
      <c r="DH102">
        <f t="shared" si="3"/>
        <v>175.24000000000012</v>
      </c>
    </row>
    <row r="103" spans="1:112" hidden="1" x14ac:dyDescent="0.35">
      <c r="A103">
        <v>1004606908</v>
      </c>
      <c r="D103" t="s">
        <v>100</v>
      </c>
      <c r="E103" t="s">
        <v>99</v>
      </c>
      <c r="F103" t="s">
        <v>104</v>
      </c>
      <c r="G103" t="s">
        <v>103</v>
      </c>
      <c r="J103">
        <v>356512055</v>
      </c>
      <c r="AL103">
        <v>4606908</v>
      </c>
      <c r="AX103">
        <v>11</v>
      </c>
      <c r="AY103">
        <v>662646</v>
      </c>
      <c r="AZ103">
        <v>5493319</v>
      </c>
      <c r="BA103">
        <v>841.67655691125401</v>
      </c>
      <c r="BB103" t="s">
        <v>1196</v>
      </c>
      <c r="BC103" t="s">
        <v>1196</v>
      </c>
      <c r="BD103" t="s">
        <v>94</v>
      </c>
      <c r="BF103" t="s">
        <v>1195</v>
      </c>
      <c r="BG103">
        <v>3</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0.39800000000010799</v>
      </c>
      <c r="CM103">
        <v>0</v>
      </c>
      <c r="CN103">
        <v>0.4</v>
      </c>
      <c r="CO103">
        <v>0</v>
      </c>
      <c r="CP103">
        <v>0</v>
      </c>
      <c r="CQ103">
        <v>0.4</v>
      </c>
      <c r="CR103">
        <v>0.4</v>
      </c>
      <c r="CS103">
        <v>0.4</v>
      </c>
      <c r="CT103">
        <v>0.4</v>
      </c>
      <c r="CU103">
        <v>274682</v>
      </c>
      <c r="CV103">
        <v>1.1000000000000001</v>
      </c>
      <c r="CW103">
        <v>3</v>
      </c>
      <c r="CX103">
        <v>0.36666666666666697</v>
      </c>
      <c r="CZ103">
        <v>66</v>
      </c>
      <c r="DA103">
        <v>79</v>
      </c>
      <c r="DB103">
        <v>50</v>
      </c>
      <c r="DC103">
        <v>64</v>
      </c>
      <c r="DD103" t="s">
        <v>887</v>
      </c>
      <c r="DE103" t="s">
        <v>0</v>
      </c>
      <c r="DF103">
        <f t="shared" si="2"/>
        <v>175.64000000000019</v>
      </c>
      <c r="DG103">
        <v>101</v>
      </c>
      <c r="DH103">
        <f t="shared" si="3"/>
        <v>175.64000000000013</v>
      </c>
    </row>
    <row r="104" spans="1:112" hidden="1" x14ac:dyDescent="0.35">
      <c r="A104">
        <v>1004603040</v>
      </c>
      <c r="D104" t="s">
        <v>100</v>
      </c>
      <c r="E104" t="s">
        <v>99</v>
      </c>
      <c r="F104" t="s">
        <v>104</v>
      </c>
      <c r="G104" t="s">
        <v>103</v>
      </c>
      <c r="J104">
        <v>356538145</v>
      </c>
      <c r="AL104">
        <v>4603040</v>
      </c>
      <c r="AX104">
        <v>11</v>
      </c>
      <c r="AY104">
        <v>648387</v>
      </c>
      <c r="AZ104">
        <v>5545039</v>
      </c>
      <c r="BA104">
        <v>1208.5308695772501</v>
      </c>
      <c r="BB104" t="s">
        <v>1194</v>
      </c>
      <c r="BC104" t="s">
        <v>1194</v>
      </c>
      <c r="BD104" t="s">
        <v>94</v>
      </c>
      <c r="BF104" t="s">
        <v>449</v>
      </c>
      <c r="BG104">
        <v>1</v>
      </c>
      <c r="BH104">
        <v>1004605688</v>
      </c>
      <c r="BI104">
        <v>1</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0.85320537577653099</v>
      </c>
      <c r="CM104">
        <v>0</v>
      </c>
      <c r="CN104">
        <v>0.19</v>
      </c>
      <c r="CO104">
        <v>0</v>
      </c>
      <c r="CP104">
        <v>0</v>
      </c>
      <c r="CQ104">
        <v>0.85</v>
      </c>
      <c r="CR104">
        <v>0.18</v>
      </c>
      <c r="CS104">
        <v>0.85</v>
      </c>
      <c r="CT104">
        <v>0.18</v>
      </c>
      <c r="CU104">
        <v>222362</v>
      </c>
      <c r="CV104">
        <v>0.85</v>
      </c>
      <c r="CW104">
        <v>2</v>
      </c>
      <c r="CX104">
        <v>0.42499999999999999</v>
      </c>
      <c r="CZ104">
        <v>60</v>
      </c>
      <c r="DA104">
        <v>73</v>
      </c>
      <c r="DB104">
        <v>61</v>
      </c>
      <c r="DC104">
        <v>65</v>
      </c>
      <c r="DD104" t="s">
        <v>887</v>
      </c>
      <c r="DE104" t="s">
        <v>0</v>
      </c>
      <c r="DF104">
        <f t="shared" si="2"/>
        <v>176.0650000000002</v>
      </c>
      <c r="DG104">
        <v>102</v>
      </c>
      <c r="DH104">
        <f t="shared" si="3"/>
        <v>175.82000000000014</v>
      </c>
    </row>
    <row r="105" spans="1:112" hidden="1" x14ac:dyDescent="0.35">
      <c r="A105">
        <v>1004605688</v>
      </c>
      <c r="D105" t="s">
        <v>100</v>
      </c>
      <c r="E105" t="s">
        <v>99</v>
      </c>
      <c r="F105" t="s">
        <v>104</v>
      </c>
      <c r="G105" t="s">
        <v>103</v>
      </c>
      <c r="H105" t="s">
        <v>723</v>
      </c>
      <c r="J105">
        <v>356538145</v>
      </c>
      <c r="AL105">
        <v>4605688</v>
      </c>
      <c r="AX105">
        <v>11</v>
      </c>
      <c r="AY105">
        <v>648286</v>
      </c>
      <c r="AZ105">
        <v>5545136</v>
      </c>
      <c r="BA105">
        <v>1395.92554637171</v>
      </c>
      <c r="BB105" t="s">
        <v>1194</v>
      </c>
      <c r="BC105" t="s">
        <v>1193</v>
      </c>
      <c r="BD105" t="s">
        <v>94</v>
      </c>
      <c r="BF105" t="s">
        <v>1192</v>
      </c>
      <c r="BG105">
        <v>2</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0.66620639132991799</v>
      </c>
      <c r="CM105">
        <v>0</v>
      </c>
      <c r="CN105">
        <v>0.67</v>
      </c>
      <c r="CO105">
        <v>0</v>
      </c>
      <c r="CP105">
        <v>0</v>
      </c>
      <c r="CQ105">
        <v>0.67</v>
      </c>
      <c r="CR105">
        <v>0.67</v>
      </c>
      <c r="CS105">
        <v>0.67</v>
      </c>
      <c r="CT105">
        <v>0.67</v>
      </c>
      <c r="CU105">
        <v>222362</v>
      </c>
      <c r="CV105">
        <v>0.85</v>
      </c>
      <c r="CW105">
        <v>2</v>
      </c>
      <c r="CX105">
        <v>0.42499999999999999</v>
      </c>
      <c r="CZ105">
        <v>60</v>
      </c>
      <c r="DA105">
        <v>73</v>
      </c>
      <c r="DB105">
        <v>61</v>
      </c>
      <c r="DC105">
        <v>65</v>
      </c>
      <c r="DD105" t="s">
        <v>887</v>
      </c>
      <c r="DE105" t="s">
        <v>0</v>
      </c>
      <c r="DF105">
        <f t="shared" si="2"/>
        <v>176.49000000000021</v>
      </c>
      <c r="DG105">
        <v>103</v>
      </c>
      <c r="DH105">
        <f t="shared" si="3"/>
        <v>176.49000000000012</v>
      </c>
    </row>
    <row r="106" spans="1:112" hidden="1" x14ac:dyDescent="0.35">
      <c r="A106">
        <v>1004600086</v>
      </c>
      <c r="D106" t="s">
        <v>100</v>
      </c>
      <c r="E106" t="s">
        <v>120</v>
      </c>
      <c r="F106" t="s">
        <v>104</v>
      </c>
      <c r="G106" t="s">
        <v>103</v>
      </c>
      <c r="H106" t="s">
        <v>525</v>
      </c>
      <c r="J106">
        <v>356550268</v>
      </c>
      <c r="AL106">
        <v>4600086</v>
      </c>
      <c r="AX106">
        <v>11</v>
      </c>
      <c r="AY106">
        <v>648520</v>
      </c>
      <c r="AZ106">
        <v>5497632</v>
      </c>
      <c r="BA106">
        <v>4055.6904227089899</v>
      </c>
      <c r="BB106" t="s">
        <v>144</v>
      </c>
      <c r="BC106" t="s">
        <v>1190</v>
      </c>
      <c r="BD106" t="s">
        <v>94</v>
      </c>
      <c r="BF106" t="s">
        <v>449</v>
      </c>
      <c r="BG106">
        <v>1</v>
      </c>
      <c r="BH106" t="s">
        <v>1191</v>
      </c>
      <c r="BI106">
        <v>2</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0.874265735621783</v>
      </c>
      <c r="CM106">
        <v>0</v>
      </c>
      <c r="CN106">
        <v>0.13</v>
      </c>
      <c r="CO106">
        <v>0</v>
      </c>
      <c r="CP106">
        <v>0</v>
      </c>
      <c r="CQ106">
        <v>0.87</v>
      </c>
      <c r="CR106">
        <v>0.13</v>
      </c>
      <c r="CS106">
        <v>0.87</v>
      </c>
      <c r="CT106">
        <v>0.13</v>
      </c>
      <c r="CU106">
        <v>30522</v>
      </c>
      <c r="CV106">
        <v>0.68</v>
      </c>
      <c r="CW106">
        <v>2</v>
      </c>
      <c r="CX106">
        <v>0.34</v>
      </c>
      <c r="CZ106">
        <v>69</v>
      </c>
      <c r="DA106">
        <v>82</v>
      </c>
      <c r="DB106">
        <v>59</v>
      </c>
      <c r="DC106">
        <v>66</v>
      </c>
      <c r="DD106" t="s">
        <v>887</v>
      </c>
      <c r="DE106" t="s">
        <v>0</v>
      </c>
      <c r="DF106">
        <f t="shared" si="2"/>
        <v>176.83000000000021</v>
      </c>
      <c r="DG106">
        <v>104</v>
      </c>
      <c r="DH106">
        <f t="shared" si="3"/>
        <v>176.62000000000012</v>
      </c>
    </row>
    <row r="107" spans="1:112" hidden="1" x14ac:dyDescent="0.35">
      <c r="A107">
        <v>1004606781</v>
      </c>
      <c r="D107" t="s">
        <v>100</v>
      </c>
      <c r="E107" t="s">
        <v>180</v>
      </c>
      <c r="F107" t="s">
        <v>104</v>
      </c>
      <c r="G107" t="s">
        <v>103</v>
      </c>
      <c r="I107" t="s">
        <v>7</v>
      </c>
      <c r="J107">
        <v>356550268</v>
      </c>
      <c r="AL107">
        <v>4606781</v>
      </c>
      <c r="AX107">
        <v>11</v>
      </c>
      <c r="AY107">
        <v>648645</v>
      </c>
      <c r="AZ107">
        <v>5497642</v>
      </c>
      <c r="BA107">
        <v>4189.0555315594302</v>
      </c>
      <c r="BB107" t="s">
        <v>144</v>
      </c>
      <c r="BC107" t="s">
        <v>1190</v>
      </c>
      <c r="BD107" t="s">
        <v>94</v>
      </c>
      <c r="BF107" t="s">
        <v>1189</v>
      </c>
      <c r="BG107">
        <v>2</v>
      </c>
      <c r="BH107">
        <v>1024734206</v>
      </c>
      <c r="BI107">
        <v>1</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0.74126573562180997</v>
      </c>
      <c r="CM107">
        <v>0</v>
      </c>
      <c r="CN107">
        <v>0.55000000000000004</v>
      </c>
      <c r="CO107">
        <v>0</v>
      </c>
      <c r="CP107">
        <v>0</v>
      </c>
      <c r="CQ107">
        <v>0.74</v>
      </c>
      <c r="CR107">
        <v>0.55000000000000004</v>
      </c>
      <c r="CS107">
        <v>0.74</v>
      </c>
      <c r="CT107">
        <v>0.55000000000000004</v>
      </c>
      <c r="CU107">
        <v>30522</v>
      </c>
      <c r="CV107">
        <v>0.68</v>
      </c>
      <c r="CW107">
        <v>2</v>
      </c>
      <c r="CX107">
        <v>0.34</v>
      </c>
      <c r="CZ107">
        <v>69</v>
      </c>
      <c r="DA107">
        <v>82</v>
      </c>
      <c r="DB107">
        <v>59</v>
      </c>
      <c r="DC107">
        <v>66</v>
      </c>
      <c r="DD107" t="s">
        <v>887</v>
      </c>
      <c r="DE107" t="s">
        <v>0</v>
      </c>
      <c r="DF107">
        <f t="shared" si="2"/>
        <v>177.17000000000021</v>
      </c>
      <c r="DG107">
        <v>105</v>
      </c>
      <c r="DH107">
        <f t="shared" si="3"/>
        <v>177.17000000000013</v>
      </c>
    </row>
    <row r="108" spans="1:112" hidden="1" x14ac:dyDescent="0.35">
      <c r="A108">
        <v>1004604006</v>
      </c>
      <c r="D108" t="s">
        <v>100</v>
      </c>
      <c r="E108" t="s">
        <v>99</v>
      </c>
      <c r="F108" t="s">
        <v>104</v>
      </c>
      <c r="G108" t="s">
        <v>103</v>
      </c>
      <c r="J108">
        <v>356570006</v>
      </c>
      <c r="AL108">
        <v>4604006</v>
      </c>
      <c r="AX108">
        <v>11</v>
      </c>
      <c r="AY108">
        <v>647065</v>
      </c>
      <c r="AZ108">
        <v>5584911</v>
      </c>
      <c r="BA108">
        <v>30.785212394512499</v>
      </c>
      <c r="BB108" t="s">
        <v>1188</v>
      </c>
      <c r="BC108" t="s">
        <v>1188</v>
      </c>
      <c r="BD108" t="s">
        <v>94</v>
      </c>
      <c r="BE108" t="s">
        <v>1187</v>
      </c>
      <c r="BF108" t="s">
        <v>449</v>
      </c>
      <c r="BG108">
        <v>1</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1.80915189677491E-2</v>
      </c>
      <c r="CL108">
        <v>0.48016287492112802</v>
      </c>
      <c r="CM108">
        <v>0.02</v>
      </c>
      <c r="CN108">
        <v>0.48</v>
      </c>
      <c r="CO108">
        <v>0.02</v>
      </c>
      <c r="CP108">
        <v>0.02</v>
      </c>
      <c r="CQ108">
        <v>0.48</v>
      </c>
      <c r="CR108">
        <v>0.48</v>
      </c>
      <c r="CS108">
        <v>0.48</v>
      </c>
      <c r="CT108">
        <v>0.48</v>
      </c>
      <c r="CU108">
        <v>185302</v>
      </c>
      <c r="CV108">
        <v>0.48</v>
      </c>
      <c r="CW108">
        <v>1</v>
      </c>
      <c r="CX108">
        <v>0.48</v>
      </c>
      <c r="CZ108">
        <v>54</v>
      </c>
      <c r="DA108">
        <v>68</v>
      </c>
      <c r="DB108">
        <v>81</v>
      </c>
      <c r="DC108">
        <v>67</v>
      </c>
      <c r="DD108" t="s">
        <v>887</v>
      </c>
      <c r="DE108" t="s">
        <v>0</v>
      </c>
      <c r="DF108">
        <f t="shared" si="2"/>
        <v>177.6500000000002</v>
      </c>
      <c r="DG108">
        <v>106</v>
      </c>
      <c r="DH108">
        <f t="shared" si="3"/>
        <v>177.65000000000012</v>
      </c>
    </row>
    <row r="109" spans="1:112" s="5" customFormat="1" hidden="1" x14ac:dyDescent="0.35">
      <c r="A109" s="5">
        <v>197520</v>
      </c>
      <c r="B109" s="5">
        <v>197520</v>
      </c>
      <c r="D109" s="5" t="s">
        <v>121</v>
      </c>
      <c r="E109" s="5" t="s">
        <v>99</v>
      </c>
      <c r="F109" s="5" t="s">
        <v>104</v>
      </c>
      <c r="G109" s="5" t="s">
        <v>119</v>
      </c>
      <c r="H109" s="5" t="s">
        <v>409</v>
      </c>
      <c r="J109" s="5">
        <v>356530604</v>
      </c>
      <c r="K109" s="5" t="s">
        <v>19</v>
      </c>
      <c r="L109" s="5" t="s">
        <v>412</v>
      </c>
      <c r="M109" s="5" t="s">
        <v>39</v>
      </c>
      <c r="P109" s="5" t="s">
        <v>38</v>
      </c>
      <c r="Q109" s="5" t="s">
        <v>4</v>
      </c>
      <c r="T109" s="5" t="s">
        <v>1186</v>
      </c>
      <c r="U109" s="5" t="s">
        <v>1185</v>
      </c>
      <c r="V109" s="5" t="s">
        <v>36</v>
      </c>
      <c r="AE109" s="5" t="s">
        <v>35</v>
      </c>
      <c r="AI109" s="5" t="s">
        <v>1184</v>
      </c>
      <c r="AJ109" s="5" t="s">
        <v>1183</v>
      </c>
      <c r="AL109" s="5">
        <v>4605653</v>
      </c>
      <c r="AM109" s="5" t="s">
        <v>114</v>
      </c>
      <c r="AN109" s="5" t="s">
        <v>113</v>
      </c>
      <c r="AO109" s="5" t="s">
        <v>409</v>
      </c>
      <c r="AP109" s="5" t="s">
        <v>19</v>
      </c>
      <c r="AQ109" s="5" t="s">
        <v>1182</v>
      </c>
      <c r="AR109" s="6">
        <v>44090</v>
      </c>
      <c r="AX109" s="5">
        <v>11</v>
      </c>
      <c r="AY109" s="5">
        <v>644648</v>
      </c>
      <c r="AZ109" s="5">
        <v>5564930</v>
      </c>
      <c r="BA109" s="5">
        <v>306</v>
      </c>
      <c r="BB109" s="5" t="s">
        <v>1181</v>
      </c>
      <c r="BC109" s="5" t="s">
        <v>1181</v>
      </c>
      <c r="BD109" s="5" t="s">
        <v>94</v>
      </c>
      <c r="BF109" s="5" t="s">
        <v>449</v>
      </c>
      <c r="BG109" s="5">
        <v>1</v>
      </c>
      <c r="BM109" s="5">
        <v>0</v>
      </c>
      <c r="BN109" s="5">
        <v>0</v>
      </c>
      <c r="BO109" s="5">
        <v>0</v>
      </c>
      <c r="BP109" s="5">
        <v>0</v>
      </c>
      <c r="BQ109" s="5">
        <v>0</v>
      </c>
      <c r="BR109" s="5">
        <v>0</v>
      </c>
      <c r="BS109" s="5">
        <v>0</v>
      </c>
      <c r="BT109" s="5">
        <v>0</v>
      </c>
      <c r="BU109" s="5">
        <v>0</v>
      </c>
      <c r="BV109" s="5">
        <v>0</v>
      </c>
      <c r="BW109" s="5">
        <v>0</v>
      </c>
      <c r="BX109" s="5">
        <v>0</v>
      </c>
      <c r="BY109" s="5">
        <v>0</v>
      </c>
      <c r="BZ109" s="5">
        <v>0</v>
      </c>
      <c r="CA109" s="5">
        <v>0</v>
      </c>
      <c r="CB109" s="5">
        <v>0</v>
      </c>
      <c r="CC109" s="5">
        <v>0</v>
      </c>
      <c r="CD109" s="5">
        <v>0</v>
      </c>
      <c r="CE109" s="5">
        <v>0</v>
      </c>
      <c r="CF109" s="5">
        <v>0</v>
      </c>
      <c r="CG109" s="5">
        <v>0</v>
      </c>
      <c r="CH109" s="5">
        <v>0</v>
      </c>
      <c r="CI109" s="5">
        <v>0</v>
      </c>
      <c r="CJ109" s="5">
        <v>0</v>
      </c>
      <c r="CK109" s="5">
        <v>0</v>
      </c>
      <c r="CL109" s="5">
        <v>0.463548244160292</v>
      </c>
      <c r="CM109" s="5">
        <v>0</v>
      </c>
      <c r="CN109" s="5">
        <v>0.46</v>
      </c>
      <c r="CO109" s="5">
        <v>0</v>
      </c>
      <c r="CP109" s="5">
        <v>0</v>
      </c>
      <c r="CQ109" s="5">
        <v>0.46</v>
      </c>
      <c r="CR109" s="5">
        <v>0.46</v>
      </c>
      <c r="CS109" s="5">
        <v>0.46</v>
      </c>
      <c r="CT109" s="5">
        <v>0.46</v>
      </c>
      <c r="CU109" s="5">
        <v>368422</v>
      </c>
      <c r="CV109" s="5">
        <v>0.46</v>
      </c>
      <c r="CW109" s="5">
        <v>1</v>
      </c>
      <c r="CX109" s="5">
        <v>0.46</v>
      </c>
      <c r="CZ109" s="5">
        <v>55</v>
      </c>
      <c r="DA109" s="5">
        <v>69</v>
      </c>
      <c r="DB109" s="5">
        <v>82</v>
      </c>
      <c r="DC109" s="5">
        <v>68</v>
      </c>
      <c r="DD109" s="5" t="s">
        <v>887</v>
      </c>
      <c r="DE109" s="5" t="s">
        <v>0</v>
      </c>
      <c r="DF109" s="5">
        <f t="shared" si="2"/>
        <v>178.11000000000021</v>
      </c>
      <c r="DG109" s="5">
        <v>107</v>
      </c>
      <c r="DH109" s="5">
        <f t="shared" si="3"/>
        <v>178.11000000000013</v>
      </c>
    </row>
    <row r="110" spans="1:112" hidden="1" x14ac:dyDescent="0.35">
      <c r="A110">
        <v>1004600160</v>
      </c>
      <c r="D110" t="s">
        <v>100</v>
      </c>
      <c r="E110" t="s">
        <v>120</v>
      </c>
      <c r="F110" t="s">
        <v>104</v>
      </c>
      <c r="G110" t="s">
        <v>103</v>
      </c>
      <c r="H110" t="s">
        <v>525</v>
      </c>
      <c r="J110">
        <v>356567736</v>
      </c>
      <c r="AL110">
        <v>4600160</v>
      </c>
      <c r="AX110">
        <v>11</v>
      </c>
      <c r="AY110">
        <v>645518</v>
      </c>
      <c r="AZ110">
        <v>5493040</v>
      </c>
      <c r="BA110">
        <v>438.92958999584903</v>
      </c>
      <c r="BB110" t="s">
        <v>1179</v>
      </c>
      <c r="BC110" t="s">
        <v>1178</v>
      </c>
      <c r="BD110" t="s">
        <v>94</v>
      </c>
      <c r="BE110" t="s">
        <v>1177</v>
      </c>
      <c r="BF110" t="s">
        <v>449</v>
      </c>
      <c r="BG110">
        <v>1</v>
      </c>
      <c r="BH110">
        <v>1004600018</v>
      </c>
      <c r="BI110">
        <v>1</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0.66000094274408105</v>
      </c>
      <c r="CM110">
        <v>0</v>
      </c>
      <c r="CN110">
        <v>0.01</v>
      </c>
      <c r="CO110">
        <v>0</v>
      </c>
      <c r="CP110">
        <v>0</v>
      </c>
      <c r="CQ110">
        <v>0.66</v>
      </c>
      <c r="CR110">
        <v>0.01</v>
      </c>
      <c r="CS110">
        <v>0.66</v>
      </c>
      <c r="CT110">
        <v>0.01</v>
      </c>
      <c r="CU110">
        <v>6542</v>
      </c>
      <c r="CV110">
        <v>0.66</v>
      </c>
      <c r="CW110">
        <v>2</v>
      </c>
      <c r="CX110">
        <v>0.33</v>
      </c>
      <c r="CZ110">
        <v>71</v>
      </c>
      <c r="DA110">
        <v>85</v>
      </c>
      <c r="DB110">
        <v>68</v>
      </c>
      <c r="DC110">
        <v>69</v>
      </c>
      <c r="DD110" t="s">
        <v>887</v>
      </c>
      <c r="DE110" t="s">
        <v>0</v>
      </c>
      <c r="DF110">
        <f t="shared" si="2"/>
        <v>178.44000000000023</v>
      </c>
      <c r="DG110">
        <v>108</v>
      </c>
      <c r="DH110">
        <f t="shared" si="3"/>
        <v>178.12000000000012</v>
      </c>
    </row>
    <row r="111" spans="1:112" hidden="1" x14ac:dyDescent="0.35">
      <c r="A111">
        <v>1004600018</v>
      </c>
      <c r="D111" t="s">
        <v>100</v>
      </c>
      <c r="E111" t="s">
        <v>120</v>
      </c>
      <c r="F111" t="s">
        <v>104</v>
      </c>
      <c r="G111" t="s">
        <v>103</v>
      </c>
      <c r="H111" t="s">
        <v>1180</v>
      </c>
      <c r="J111">
        <v>356567736</v>
      </c>
      <c r="AL111">
        <v>4600018</v>
      </c>
      <c r="AX111">
        <v>11</v>
      </c>
      <c r="AY111">
        <v>645504</v>
      </c>
      <c r="AZ111">
        <v>5493046</v>
      </c>
      <c r="BA111">
        <v>454.18902493009</v>
      </c>
      <c r="BB111" t="s">
        <v>1179</v>
      </c>
      <c r="BC111" t="s">
        <v>1178</v>
      </c>
      <c r="BD111" t="s">
        <v>94</v>
      </c>
      <c r="BE111" t="s">
        <v>1177</v>
      </c>
      <c r="BF111" t="s">
        <v>1176</v>
      </c>
      <c r="BG111">
        <v>2</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0.64500094274409603</v>
      </c>
      <c r="CM111">
        <v>0</v>
      </c>
      <c r="CN111">
        <v>0.65</v>
      </c>
      <c r="CO111">
        <v>0</v>
      </c>
      <c r="CP111">
        <v>0</v>
      </c>
      <c r="CQ111">
        <v>0.65</v>
      </c>
      <c r="CR111">
        <v>0.65</v>
      </c>
      <c r="CS111">
        <v>0.65</v>
      </c>
      <c r="CT111">
        <v>0.65</v>
      </c>
      <c r="CU111">
        <v>6542</v>
      </c>
      <c r="CV111">
        <v>0.66</v>
      </c>
      <c r="CW111">
        <v>2</v>
      </c>
      <c r="CX111">
        <v>0.33</v>
      </c>
      <c r="CZ111">
        <v>71</v>
      </c>
      <c r="DA111">
        <v>85</v>
      </c>
      <c r="DB111">
        <v>68</v>
      </c>
      <c r="DC111">
        <v>69</v>
      </c>
      <c r="DD111" t="s">
        <v>887</v>
      </c>
      <c r="DE111" t="s">
        <v>0</v>
      </c>
      <c r="DF111">
        <f t="shared" si="2"/>
        <v>178.77000000000024</v>
      </c>
      <c r="DG111">
        <v>109</v>
      </c>
      <c r="DH111">
        <f t="shared" si="3"/>
        <v>178.77000000000012</v>
      </c>
    </row>
    <row r="112" spans="1:112" hidden="1" x14ac:dyDescent="0.35">
      <c r="A112">
        <v>1004601125</v>
      </c>
      <c r="D112" t="s">
        <v>100</v>
      </c>
      <c r="E112" t="s">
        <v>99</v>
      </c>
      <c r="F112" t="s">
        <v>104</v>
      </c>
      <c r="G112" t="s">
        <v>103</v>
      </c>
      <c r="J112">
        <v>356429235</v>
      </c>
      <c r="AL112">
        <v>4601125</v>
      </c>
      <c r="AX112">
        <v>11</v>
      </c>
      <c r="AY112">
        <v>660585</v>
      </c>
      <c r="AZ112">
        <v>5524199</v>
      </c>
      <c r="BA112">
        <v>149.56328778898501</v>
      </c>
      <c r="BB112" t="s">
        <v>1175</v>
      </c>
      <c r="BC112" t="s">
        <v>1175</v>
      </c>
      <c r="BD112" t="s">
        <v>94</v>
      </c>
      <c r="BF112" t="s">
        <v>449</v>
      </c>
      <c r="BG112">
        <v>1</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0.449999999999869</v>
      </c>
      <c r="CM112">
        <v>0</v>
      </c>
      <c r="CN112">
        <v>0.449999999999869</v>
      </c>
      <c r="CO112">
        <v>0</v>
      </c>
      <c r="CP112">
        <v>0</v>
      </c>
      <c r="CQ112">
        <v>0.45</v>
      </c>
      <c r="CR112">
        <v>0.45</v>
      </c>
      <c r="CS112">
        <v>0.45</v>
      </c>
      <c r="CT112">
        <v>0.45</v>
      </c>
      <c r="CU112">
        <v>117722</v>
      </c>
      <c r="CV112">
        <v>0.45</v>
      </c>
      <c r="CW112">
        <v>1</v>
      </c>
      <c r="CX112">
        <v>0.45</v>
      </c>
      <c r="CZ112">
        <v>57</v>
      </c>
      <c r="DA112">
        <v>70</v>
      </c>
      <c r="DB112">
        <v>83</v>
      </c>
      <c r="DC112">
        <v>70</v>
      </c>
      <c r="DD112" t="s">
        <v>887</v>
      </c>
      <c r="DE112" t="s">
        <v>0</v>
      </c>
      <c r="DF112">
        <f t="shared" si="2"/>
        <v>179.22000000000023</v>
      </c>
      <c r="DG112">
        <v>110</v>
      </c>
      <c r="DH112">
        <f t="shared" si="3"/>
        <v>179.22000000000011</v>
      </c>
    </row>
    <row r="113" spans="1:112" hidden="1" x14ac:dyDescent="0.35">
      <c r="A113">
        <v>1004600699</v>
      </c>
      <c r="D113" t="s">
        <v>100</v>
      </c>
      <c r="E113" t="s">
        <v>120</v>
      </c>
      <c r="F113" t="s">
        <v>104</v>
      </c>
      <c r="G113" t="s">
        <v>103</v>
      </c>
      <c r="H113" t="s">
        <v>584</v>
      </c>
      <c r="J113">
        <v>356446911</v>
      </c>
      <c r="AL113">
        <v>4600699</v>
      </c>
      <c r="AX113">
        <v>11</v>
      </c>
      <c r="AY113">
        <v>646067</v>
      </c>
      <c r="AZ113">
        <v>5493822</v>
      </c>
      <c r="BA113">
        <v>546.04856460802603</v>
      </c>
      <c r="BB113" t="s">
        <v>1174</v>
      </c>
      <c r="BC113" t="s">
        <v>1174</v>
      </c>
      <c r="BD113" t="s">
        <v>94</v>
      </c>
      <c r="BF113" t="s">
        <v>449</v>
      </c>
      <c r="BG113">
        <v>1</v>
      </c>
      <c r="BH113">
        <v>1024752650</v>
      </c>
      <c r="BI113">
        <v>1</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0.625501075434853</v>
      </c>
      <c r="CM113">
        <v>0</v>
      </c>
      <c r="CN113">
        <v>0.04</v>
      </c>
      <c r="CO113">
        <v>0</v>
      </c>
      <c r="CP113">
        <v>0</v>
      </c>
      <c r="CQ113">
        <v>0.63</v>
      </c>
      <c r="CR113">
        <v>0.04</v>
      </c>
      <c r="CS113">
        <v>0.63</v>
      </c>
      <c r="CT113">
        <v>0.04</v>
      </c>
      <c r="CU113">
        <v>353162</v>
      </c>
      <c r="CV113">
        <v>0.63</v>
      </c>
      <c r="CW113">
        <v>2</v>
      </c>
      <c r="CX113">
        <v>0.315</v>
      </c>
      <c r="CZ113">
        <v>73</v>
      </c>
      <c r="DA113">
        <v>88</v>
      </c>
      <c r="DB113">
        <v>72</v>
      </c>
      <c r="DC113">
        <v>71</v>
      </c>
      <c r="DD113" t="s">
        <v>887</v>
      </c>
      <c r="DE113" t="s">
        <v>0</v>
      </c>
      <c r="DF113">
        <f t="shared" si="2"/>
        <v>179.53500000000022</v>
      </c>
      <c r="DG113">
        <v>111</v>
      </c>
      <c r="DH113">
        <f t="shared" si="3"/>
        <v>179.2600000000001</v>
      </c>
    </row>
    <row r="114" spans="1:112" hidden="1" x14ac:dyDescent="0.35">
      <c r="A114">
        <v>1024752650</v>
      </c>
      <c r="D114" t="s">
        <v>100</v>
      </c>
      <c r="E114" t="s">
        <v>120</v>
      </c>
      <c r="F114" t="s">
        <v>104</v>
      </c>
      <c r="G114" t="s">
        <v>103</v>
      </c>
      <c r="H114" t="s">
        <v>584</v>
      </c>
      <c r="J114">
        <v>356446911</v>
      </c>
      <c r="AL114">
        <v>24752650</v>
      </c>
      <c r="AX114">
        <v>11</v>
      </c>
      <c r="AY114">
        <v>646043</v>
      </c>
      <c r="AZ114">
        <v>5493848</v>
      </c>
      <c r="BA114">
        <v>582.13506186382006</v>
      </c>
      <c r="BB114" t="s">
        <v>1174</v>
      </c>
      <c r="BC114" t="s">
        <v>1174</v>
      </c>
      <c r="BD114" t="s">
        <v>94</v>
      </c>
      <c r="BF114" t="s">
        <v>1173</v>
      </c>
      <c r="BG114">
        <v>2</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0.58950107543486496</v>
      </c>
      <c r="CM114">
        <v>0</v>
      </c>
      <c r="CN114">
        <v>0.58950107543486496</v>
      </c>
      <c r="CO114">
        <v>0</v>
      </c>
      <c r="CP114">
        <v>0</v>
      </c>
      <c r="CQ114">
        <v>0.59</v>
      </c>
      <c r="CR114">
        <v>0.59</v>
      </c>
      <c r="CS114">
        <v>0.59</v>
      </c>
      <c r="CT114">
        <v>0.59</v>
      </c>
      <c r="CU114">
        <v>353162</v>
      </c>
      <c r="CV114">
        <v>0.63</v>
      </c>
      <c r="CW114">
        <v>2</v>
      </c>
      <c r="CX114">
        <v>0.315</v>
      </c>
      <c r="CZ114">
        <v>73</v>
      </c>
      <c r="DA114">
        <v>88</v>
      </c>
      <c r="DB114">
        <v>72</v>
      </c>
      <c r="DC114">
        <v>71</v>
      </c>
      <c r="DD114" t="s">
        <v>887</v>
      </c>
      <c r="DE114" t="s">
        <v>0</v>
      </c>
      <c r="DF114">
        <f t="shared" si="2"/>
        <v>179.85000000000022</v>
      </c>
      <c r="DG114">
        <v>112</v>
      </c>
      <c r="DH114">
        <f t="shared" si="3"/>
        <v>179.85000000000011</v>
      </c>
    </row>
    <row r="115" spans="1:112" hidden="1" x14ac:dyDescent="0.35">
      <c r="A115">
        <v>1004600320</v>
      </c>
      <c r="D115" t="s">
        <v>100</v>
      </c>
      <c r="E115" t="s">
        <v>120</v>
      </c>
      <c r="F115" t="s">
        <v>104</v>
      </c>
      <c r="G115" t="s">
        <v>103</v>
      </c>
      <c r="H115" t="s">
        <v>525</v>
      </c>
      <c r="J115">
        <v>356515139</v>
      </c>
      <c r="AL115">
        <v>4600320</v>
      </c>
      <c r="AX115">
        <v>11</v>
      </c>
      <c r="AY115">
        <v>647722</v>
      </c>
      <c r="AZ115">
        <v>5495948</v>
      </c>
      <c r="BA115">
        <v>275.656226687593</v>
      </c>
      <c r="BB115" t="s">
        <v>1170</v>
      </c>
      <c r="BC115" t="s">
        <v>1170</v>
      </c>
      <c r="BD115" t="s">
        <v>94</v>
      </c>
      <c r="BF115" t="s">
        <v>449</v>
      </c>
      <c r="BG115">
        <v>1</v>
      </c>
      <c r="BH115" t="s">
        <v>1172</v>
      </c>
      <c r="BI115">
        <v>2</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0.65299999999998903</v>
      </c>
      <c r="CM115">
        <v>0</v>
      </c>
      <c r="CN115">
        <v>0.03</v>
      </c>
      <c r="CO115">
        <v>0</v>
      </c>
      <c r="CP115">
        <v>0</v>
      </c>
      <c r="CQ115">
        <v>0.65</v>
      </c>
      <c r="CR115">
        <v>0.03</v>
      </c>
      <c r="CS115">
        <v>0.65</v>
      </c>
      <c r="CT115">
        <v>0.03</v>
      </c>
      <c r="CU115">
        <v>89382</v>
      </c>
      <c r="CV115">
        <v>0.65</v>
      </c>
      <c r="CW115">
        <v>3</v>
      </c>
      <c r="CX115">
        <v>0.21666666666666701</v>
      </c>
      <c r="CZ115">
        <v>78</v>
      </c>
      <c r="DA115">
        <v>92</v>
      </c>
      <c r="DB115">
        <v>69</v>
      </c>
      <c r="DC115">
        <v>72</v>
      </c>
      <c r="DD115" t="s">
        <v>887</v>
      </c>
      <c r="DE115" t="s">
        <v>0</v>
      </c>
      <c r="DF115">
        <f t="shared" si="2"/>
        <v>180.06666666666689</v>
      </c>
      <c r="DG115">
        <v>113</v>
      </c>
      <c r="DH115">
        <f t="shared" si="3"/>
        <v>179.88000000000011</v>
      </c>
    </row>
    <row r="116" spans="1:112" hidden="1" x14ac:dyDescent="0.35">
      <c r="A116">
        <v>1004606678</v>
      </c>
      <c r="D116" t="s">
        <v>100</v>
      </c>
      <c r="E116" t="s">
        <v>180</v>
      </c>
      <c r="F116" t="s">
        <v>104</v>
      </c>
      <c r="G116" t="s">
        <v>103</v>
      </c>
      <c r="I116" t="s">
        <v>7</v>
      </c>
      <c r="J116">
        <v>356515139</v>
      </c>
      <c r="AL116">
        <v>4606678</v>
      </c>
      <c r="AX116">
        <v>11</v>
      </c>
      <c r="AY116">
        <v>647753</v>
      </c>
      <c r="AZ116">
        <v>5495949</v>
      </c>
      <c r="BA116">
        <v>307.07185287310398</v>
      </c>
      <c r="BB116" t="s">
        <v>1170</v>
      </c>
      <c r="BC116" t="s">
        <v>1170</v>
      </c>
      <c r="BD116" t="s">
        <v>94</v>
      </c>
      <c r="BF116" t="s">
        <v>1171</v>
      </c>
      <c r="BG116">
        <v>2</v>
      </c>
      <c r="BH116">
        <v>1004600470</v>
      </c>
      <c r="BI116">
        <v>1</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0.62200000000005995</v>
      </c>
      <c r="CM116">
        <v>0</v>
      </c>
      <c r="CN116">
        <v>0.37</v>
      </c>
      <c r="CO116">
        <v>0</v>
      </c>
      <c r="CP116">
        <v>0</v>
      </c>
      <c r="CQ116">
        <v>0.62</v>
      </c>
      <c r="CR116">
        <v>0.36</v>
      </c>
      <c r="CS116">
        <v>0.62</v>
      </c>
      <c r="CT116">
        <v>0.36</v>
      </c>
      <c r="CU116">
        <v>89382</v>
      </c>
      <c r="CV116">
        <v>0.65</v>
      </c>
      <c r="CW116">
        <v>3</v>
      </c>
      <c r="CX116">
        <v>0.21666666666666701</v>
      </c>
      <c r="CZ116">
        <v>78</v>
      </c>
      <c r="DA116">
        <v>92</v>
      </c>
      <c r="DB116">
        <v>69</v>
      </c>
      <c r="DC116">
        <v>72</v>
      </c>
      <c r="DD116" t="s">
        <v>887</v>
      </c>
      <c r="DE116" t="s">
        <v>0</v>
      </c>
      <c r="DF116">
        <f t="shared" si="2"/>
        <v>180.28333333333356</v>
      </c>
      <c r="DG116">
        <v>114</v>
      </c>
      <c r="DH116">
        <f t="shared" si="3"/>
        <v>180.24000000000012</v>
      </c>
    </row>
    <row r="117" spans="1:112" hidden="1" x14ac:dyDescent="0.35">
      <c r="A117">
        <v>1004600470</v>
      </c>
      <c r="D117" t="s">
        <v>100</v>
      </c>
      <c r="E117" t="s">
        <v>99</v>
      </c>
      <c r="F117" t="s">
        <v>104</v>
      </c>
      <c r="G117" t="s">
        <v>103</v>
      </c>
      <c r="J117">
        <v>356515139</v>
      </c>
      <c r="AL117">
        <v>4600470</v>
      </c>
      <c r="AX117">
        <v>11</v>
      </c>
      <c r="AY117">
        <v>648069</v>
      </c>
      <c r="AZ117">
        <v>5496016</v>
      </c>
      <c r="BA117">
        <v>673.13118078175501</v>
      </c>
      <c r="BB117" t="s">
        <v>1170</v>
      </c>
      <c r="BC117" t="s">
        <v>1170</v>
      </c>
      <c r="BD117" t="s">
        <v>94</v>
      </c>
      <c r="BF117" t="s">
        <v>1169</v>
      </c>
      <c r="BG117">
        <v>3</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0.25600000000004203</v>
      </c>
      <c r="CM117">
        <v>0</v>
      </c>
      <c r="CN117">
        <v>0.26</v>
      </c>
      <c r="CO117">
        <v>0</v>
      </c>
      <c r="CP117">
        <v>0</v>
      </c>
      <c r="CQ117">
        <v>0.26</v>
      </c>
      <c r="CR117">
        <v>0.26</v>
      </c>
      <c r="CS117">
        <v>0.26</v>
      </c>
      <c r="CT117">
        <v>0.26</v>
      </c>
      <c r="CU117">
        <v>89382</v>
      </c>
      <c r="CV117">
        <v>0.65</v>
      </c>
      <c r="CW117">
        <v>3</v>
      </c>
      <c r="CX117">
        <v>0.21666666666666701</v>
      </c>
      <c r="CZ117">
        <v>78</v>
      </c>
      <c r="DA117">
        <v>92</v>
      </c>
      <c r="DB117">
        <v>69</v>
      </c>
      <c r="DC117">
        <v>72</v>
      </c>
      <c r="DD117" t="s">
        <v>887</v>
      </c>
      <c r="DE117" t="s">
        <v>0</v>
      </c>
      <c r="DF117">
        <f t="shared" si="2"/>
        <v>180.50000000000023</v>
      </c>
      <c r="DG117">
        <v>115</v>
      </c>
      <c r="DH117">
        <f t="shared" si="3"/>
        <v>180.50000000000011</v>
      </c>
    </row>
    <row r="118" spans="1:112" hidden="1" x14ac:dyDescent="0.35">
      <c r="A118">
        <v>1004602344</v>
      </c>
      <c r="D118" t="s">
        <v>100</v>
      </c>
      <c r="E118" t="s">
        <v>99</v>
      </c>
      <c r="F118" t="s">
        <v>104</v>
      </c>
      <c r="G118" t="s">
        <v>103</v>
      </c>
      <c r="J118">
        <v>356551142</v>
      </c>
      <c r="AL118">
        <v>4602344</v>
      </c>
      <c r="AX118">
        <v>11</v>
      </c>
      <c r="AY118">
        <v>652355</v>
      </c>
      <c r="AZ118">
        <v>5520234</v>
      </c>
      <c r="BA118">
        <v>2396.7940831495998</v>
      </c>
      <c r="BB118" t="s">
        <v>265</v>
      </c>
      <c r="BC118" t="s">
        <v>1168</v>
      </c>
      <c r="BD118" t="s">
        <v>94</v>
      </c>
      <c r="BE118" t="s">
        <v>264</v>
      </c>
      <c r="BF118" t="s">
        <v>402</v>
      </c>
      <c r="BG118">
        <v>2</v>
      </c>
      <c r="BH118" t="s">
        <v>1167</v>
      </c>
      <c r="BI118">
        <v>3</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0.869641951751708</v>
      </c>
      <c r="CL118">
        <v>2.2480838921653299</v>
      </c>
      <c r="CM118">
        <v>0.31</v>
      </c>
      <c r="CN118">
        <v>0.31</v>
      </c>
      <c r="CO118">
        <v>0.87</v>
      </c>
      <c r="CP118">
        <v>0.31</v>
      </c>
      <c r="CQ118">
        <v>2.25</v>
      </c>
      <c r="CR118">
        <v>0.32</v>
      </c>
      <c r="CS118">
        <v>2.25</v>
      </c>
      <c r="CT118">
        <v>0.32</v>
      </c>
      <c r="CU118">
        <v>161323</v>
      </c>
      <c r="CV118">
        <v>0.32</v>
      </c>
      <c r="CW118">
        <v>1</v>
      </c>
      <c r="CX118">
        <v>0.32</v>
      </c>
      <c r="CY118" t="s">
        <v>1166</v>
      </c>
      <c r="CZ118">
        <v>72</v>
      </c>
      <c r="DA118">
        <v>137</v>
      </c>
      <c r="DB118">
        <v>25</v>
      </c>
      <c r="DC118">
        <v>73</v>
      </c>
      <c r="DD118" t="s">
        <v>887</v>
      </c>
      <c r="DE118" t="s">
        <v>0</v>
      </c>
      <c r="DF118">
        <f t="shared" si="2"/>
        <v>180.82000000000022</v>
      </c>
      <c r="DG118">
        <v>116</v>
      </c>
      <c r="DH118">
        <f t="shared" si="3"/>
        <v>180.82000000000011</v>
      </c>
    </row>
    <row r="119" spans="1:112" hidden="1" x14ac:dyDescent="0.35">
      <c r="A119">
        <v>62167</v>
      </c>
      <c r="D119" t="s">
        <v>121</v>
      </c>
      <c r="E119" t="s">
        <v>120</v>
      </c>
      <c r="F119" t="s">
        <v>104</v>
      </c>
      <c r="G119" t="s">
        <v>103</v>
      </c>
      <c r="H119" t="s">
        <v>602</v>
      </c>
      <c r="J119">
        <v>356507053</v>
      </c>
      <c r="AL119">
        <v>4600155</v>
      </c>
      <c r="AM119" t="s">
        <v>114</v>
      </c>
      <c r="AN119" t="s">
        <v>113</v>
      </c>
      <c r="AO119" t="s">
        <v>794</v>
      </c>
      <c r="AP119" t="s">
        <v>1165</v>
      </c>
      <c r="AQ119" t="s">
        <v>1164</v>
      </c>
      <c r="AR119" s="1">
        <v>41197</v>
      </c>
      <c r="AX119">
        <v>11</v>
      </c>
      <c r="AY119">
        <v>655241</v>
      </c>
      <c r="AZ119">
        <v>5543558</v>
      </c>
      <c r="BA119">
        <v>142</v>
      </c>
      <c r="BB119" t="s">
        <v>790</v>
      </c>
      <c r="BC119" t="s">
        <v>790</v>
      </c>
      <c r="BD119" t="s">
        <v>94</v>
      </c>
      <c r="BF119" t="s">
        <v>449</v>
      </c>
      <c r="BG119">
        <v>1</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0.41037173112848302</v>
      </c>
      <c r="CM119">
        <v>0</v>
      </c>
      <c r="CN119">
        <v>0.41</v>
      </c>
      <c r="CO119">
        <v>0</v>
      </c>
      <c r="CP119">
        <v>0</v>
      </c>
      <c r="CQ119">
        <v>0.41</v>
      </c>
      <c r="CR119">
        <v>0.41</v>
      </c>
      <c r="CS119">
        <v>0.41</v>
      </c>
      <c r="CT119">
        <v>0.41</v>
      </c>
      <c r="CU119">
        <v>444722</v>
      </c>
      <c r="CV119">
        <v>0.41</v>
      </c>
      <c r="CW119">
        <v>1</v>
      </c>
      <c r="CX119">
        <v>0.41</v>
      </c>
      <c r="CZ119">
        <v>61</v>
      </c>
      <c r="DA119">
        <v>74</v>
      </c>
      <c r="DB119">
        <v>88</v>
      </c>
      <c r="DC119">
        <v>74</v>
      </c>
      <c r="DD119" t="s">
        <v>887</v>
      </c>
      <c r="DE119" t="s">
        <v>0</v>
      </c>
      <c r="DF119">
        <f t="shared" si="2"/>
        <v>181.23000000000022</v>
      </c>
      <c r="DG119">
        <v>117</v>
      </c>
      <c r="DH119">
        <f t="shared" si="3"/>
        <v>181.2300000000001</v>
      </c>
    </row>
    <row r="120" spans="1:112" hidden="1" x14ac:dyDescent="0.35">
      <c r="A120">
        <v>1004606721</v>
      </c>
      <c r="D120" t="s">
        <v>100</v>
      </c>
      <c r="E120" t="s">
        <v>180</v>
      </c>
      <c r="F120" t="s">
        <v>104</v>
      </c>
      <c r="G120" t="s">
        <v>103</v>
      </c>
      <c r="I120" t="s">
        <v>7</v>
      </c>
      <c r="J120">
        <v>356535352</v>
      </c>
      <c r="AL120">
        <v>4606721</v>
      </c>
      <c r="AX120">
        <v>11</v>
      </c>
      <c r="AY120">
        <v>640590</v>
      </c>
      <c r="AZ120">
        <v>5463186</v>
      </c>
      <c r="BA120">
        <v>75.647720465183099</v>
      </c>
      <c r="BB120" t="s">
        <v>1163</v>
      </c>
      <c r="BC120" t="s">
        <v>1163</v>
      </c>
      <c r="BD120" t="s">
        <v>94</v>
      </c>
      <c r="BF120" t="s">
        <v>449</v>
      </c>
      <c r="BG120">
        <v>1</v>
      </c>
      <c r="BH120">
        <v>1004605197</v>
      </c>
      <c r="BI120">
        <v>1</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0.49799999999984401</v>
      </c>
      <c r="CM120">
        <v>0</v>
      </c>
      <c r="CN120">
        <v>0.04</v>
      </c>
      <c r="CO120">
        <v>0</v>
      </c>
      <c r="CP120">
        <v>0</v>
      </c>
      <c r="CQ120">
        <v>0.5</v>
      </c>
      <c r="CR120">
        <v>0.04</v>
      </c>
      <c r="CS120">
        <v>0.5</v>
      </c>
      <c r="CT120">
        <v>0.04</v>
      </c>
      <c r="CU120">
        <v>244162</v>
      </c>
      <c r="CV120">
        <v>0.5</v>
      </c>
      <c r="CW120">
        <v>2</v>
      </c>
      <c r="CX120">
        <v>0.25</v>
      </c>
      <c r="CZ120">
        <v>75</v>
      </c>
      <c r="DA120">
        <v>90</v>
      </c>
      <c r="DB120">
        <v>79</v>
      </c>
      <c r="DC120">
        <v>75</v>
      </c>
      <c r="DD120" t="s">
        <v>887</v>
      </c>
      <c r="DE120" t="s">
        <v>0</v>
      </c>
      <c r="DF120">
        <f t="shared" si="2"/>
        <v>181.48000000000022</v>
      </c>
      <c r="DG120">
        <v>118</v>
      </c>
      <c r="DH120">
        <f t="shared" si="3"/>
        <v>181.2700000000001</v>
      </c>
    </row>
    <row r="121" spans="1:112" hidden="1" x14ac:dyDescent="0.35">
      <c r="A121">
        <v>1004605197</v>
      </c>
      <c r="D121" t="s">
        <v>100</v>
      </c>
      <c r="E121" t="s">
        <v>99</v>
      </c>
      <c r="F121" t="s">
        <v>104</v>
      </c>
      <c r="G121" t="s">
        <v>103</v>
      </c>
      <c r="H121" t="s">
        <v>502</v>
      </c>
      <c r="J121">
        <v>356535352</v>
      </c>
      <c r="AL121">
        <v>4605197</v>
      </c>
      <c r="AX121">
        <v>11</v>
      </c>
      <c r="AY121">
        <v>640608</v>
      </c>
      <c r="AZ121">
        <v>5463154</v>
      </c>
      <c r="BA121">
        <v>112.51195987031601</v>
      </c>
      <c r="BB121" t="s">
        <v>1163</v>
      </c>
      <c r="BC121" t="s">
        <v>1163</v>
      </c>
      <c r="BD121" t="s">
        <v>94</v>
      </c>
      <c r="BF121" t="s">
        <v>1162</v>
      </c>
      <c r="BG121">
        <v>2</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0.460999999999892</v>
      </c>
      <c r="CM121">
        <v>0</v>
      </c>
      <c r="CN121">
        <v>0.460999999999892</v>
      </c>
      <c r="CO121">
        <v>0</v>
      </c>
      <c r="CP121">
        <v>0</v>
      </c>
      <c r="CQ121">
        <v>0.46</v>
      </c>
      <c r="CR121">
        <v>0.46</v>
      </c>
      <c r="CS121">
        <v>0.46</v>
      </c>
      <c r="CT121">
        <v>0.46</v>
      </c>
      <c r="CU121">
        <v>244162</v>
      </c>
      <c r="CV121">
        <v>0.5</v>
      </c>
      <c r="CW121">
        <v>2</v>
      </c>
      <c r="CX121">
        <v>0.25</v>
      </c>
      <c r="CZ121">
        <v>75</v>
      </c>
      <c r="DA121">
        <v>90</v>
      </c>
      <c r="DB121">
        <v>79</v>
      </c>
      <c r="DC121">
        <v>75</v>
      </c>
      <c r="DD121" t="s">
        <v>887</v>
      </c>
      <c r="DE121" t="s">
        <v>0</v>
      </c>
      <c r="DF121">
        <f t="shared" si="2"/>
        <v>181.73000000000022</v>
      </c>
      <c r="DG121">
        <v>119</v>
      </c>
      <c r="DH121">
        <f t="shared" si="3"/>
        <v>181.7300000000001</v>
      </c>
    </row>
    <row r="122" spans="1:112" x14ac:dyDescent="0.35">
      <c r="A122">
        <v>50152</v>
      </c>
      <c r="B122">
        <v>50152</v>
      </c>
      <c r="C122" t="s">
        <v>1161</v>
      </c>
      <c r="D122" t="s">
        <v>121</v>
      </c>
      <c r="E122" t="s">
        <v>120</v>
      </c>
      <c r="F122" t="s">
        <v>104</v>
      </c>
      <c r="G122" t="s">
        <v>119</v>
      </c>
      <c r="H122" t="s">
        <v>774</v>
      </c>
      <c r="J122">
        <v>356535965</v>
      </c>
      <c r="K122" t="s">
        <v>1160</v>
      </c>
      <c r="L122" t="s">
        <v>1124</v>
      </c>
      <c r="M122" t="s">
        <v>39</v>
      </c>
      <c r="N122" t="s">
        <v>1123</v>
      </c>
      <c r="P122" t="s">
        <v>1159</v>
      </c>
      <c r="Q122" t="s">
        <v>1158</v>
      </c>
      <c r="T122" t="s">
        <v>1157</v>
      </c>
      <c r="V122" t="s">
        <v>149</v>
      </c>
      <c r="W122" t="s">
        <v>1156</v>
      </c>
      <c r="X122">
        <v>650000</v>
      </c>
      <c r="Y122" t="s">
        <v>149</v>
      </c>
      <c r="Z122" t="s">
        <v>1120</v>
      </c>
      <c r="AE122" t="s">
        <v>1155</v>
      </c>
      <c r="AF122" s="1">
        <v>45808</v>
      </c>
      <c r="AG122" t="s">
        <v>819</v>
      </c>
      <c r="AH122" t="s">
        <v>1123</v>
      </c>
      <c r="AI122" t="s">
        <v>1154</v>
      </c>
      <c r="AK122" t="s">
        <v>1117</v>
      </c>
      <c r="AL122">
        <v>4600144</v>
      </c>
      <c r="AM122" t="s">
        <v>782</v>
      </c>
      <c r="AN122" t="s">
        <v>113</v>
      </c>
      <c r="AO122" t="s">
        <v>1153</v>
      </c>
      <c r="AP122" t="s">
        <v>15</v>
      </c>
      <c r="AQ122" t="s">
        <v>1152</v>
      </c>
      <c r="AR122" s="1">
        <v>44120</v>
      </c>
      <c r="AX122">
        <v>11</v>
      </c>
      <c r="AY122">
        <v>638003</v>
      </c>
      <c r="AZ122">
        <v>5483401</v>
      </c>
      <c r="BA122">
        <v>195</v>
      </c>
      <c r="BB122" t="s">
        <v>373</v>
      </c>
      <c r="BC122" t="s">
        <v>373</v>
      </c>
      <c r="BD122" t="s">
        <v>94</v>
      </c>
      <c r="BF122" t="s">
        <v>449</v>
      </c>
      <c r="BG122">
        <v>1</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0.35900000000005</v>
      </c>
      <c r="CM122">
        <v>0</v>
      </c>
      <c r="CN122">
        <v>0.36</v>
      </c>
      <c r="CO122">
        <v>0</v>
      </c>
      <c r="CP122">
        <v>0</v>
      </c>
      <c r="CQ122">
        <v>0.36</v>
      </c>
      <c r="CR122">
        <v>0.36</v>
      </c>
      <c r="CS122">
        <v>0.36</v>
      </c>
      <c r="CT122">
        <v>0.36</v>
      </c>
      <c r="CU122">
        <v>425102</v>
      </c>
      <c r="CV122">
        <v>0.36</v>
      </c>
      <c r="CW122">
        <v>1</v>
      </c>
      <c r="CX122">
        <v>0.36</v>
      </c>
      <c r="CZ122">
        <v>67</v>
      </c>
      <c r="DA122">
        <v>81</v>
      </c>
      <c r="DB122">
        <v>90</v>
      </c>
      <c r="DC122">
        <v>76</v>
      </c>
      <c r="DD122" t="s">
        <v>887</v>
      </c>
      <c r="DE122" t="s">
        <v>0</v>
      </c>
      <c r="DF122">
        <f t="shared" si="2"/>
        <v>182.09000000000023</v>
      </c>
      <c r="DG122">
        <v>120</v>
      </c>
      <c r="DH122">
        <f t="shared" si="3"/>
        <v>182.09000000000012</v>
      </c>
    </row>
    <row r="123" spans="1:112" s="5" customFormat="1" hidden="1" x14ac:dyDescent="0.35">
      <c r="A123" s="5">
        <v>197564</v>
      </c>
      <c r="B123" s="5">
        <v>197564</v>
      </c>
      <c r="D123" s="5" t="s">
        <v>121</v>
      </c>
      <c r="E123" s="5" t="s">
        <v>99</v>
      </c>
      <c r="F123" s="5" t="s">
        <v>104</v>
      </c>
      <c r="G123" s="5" t="s">
        <v>119</v>
      </c>
      <c r="J123" s="5">
        <v>356528119</v>
      </c>
      <c r="K123" s="5" t="s">
        <v>293</v>
      </c>
      <c r="L123" s="5" t="s">
        <v>26</v>
      </c>
      <c r="M123" s="5" t="s">
        <v>39</v>
      </c>
      <c r="P123" s="5" t="s">
        <v>38</v>
      </c>
      <c r="Q123" s="5" t="s">
        <v>4</v>
      </c>
      <c r="V123" s="5" t="s">
        <v>51</v>
      </c>
      <c r="AI123" s="5" t="s">
        <v>1151</v>
      </c>
      <c r="AK123" s="5" t="s">
        <v>1150</v>
      </c>
      <c r="AL123" s="5">
        <v>4602533</v>
      </c>
      <c r="AM123" s="5" t="s">
        <v>114</v>
      </c>
      <c r="AN123" s="5" t="s">
        <v>113</v>
      </c>
      <c r="AP123" s="5" t="s">
        <v>293</v>
      </c>
      <c r="AQ123" s="5" t="s">
        <v>1149</v>
      </c>
      <c r="AR123" s="6">
        <v>44094</v>
      </c>
      <c r="AX123" s="5">
        <v>11</v>
      </c>
      <c r="AY123" s="5">
        <v>661169</v>
      </c>
      <c r="AZ123" s="5">
        <v>5524437</v>
      </c>
      <c r="BA123" s="5">
        <v>9965</v>
      </c>
      <c r="BB123" s="5" t="s">
        <v>295</v>
      </c>
      <c r="BC123" s="5" t="s">
        <v>294</v>
      </c>
      <c r="BD123" s="5" t="s">
        <v>94</v>
      </c>
      <c r="BE123" s="5" t="s">
        <v>293</v>
      </c>
      <c r="BF123" s="5" t="s">
        <v>390</v>
      </c>
      <c r="BG123" s="5">
        <v>2</v>
      </c>
      <c r="BM123" s="5">
        <v>0</v>
      </c>
      <c r="BN123" s="5">
        <v>0</v>
      </c>
      <c r="BO123" s="5">
        <v>0</v>
      </c>
      <c r="BP123" s="5">
        <v>0</v>
      </c>
      <c r="BQ123" s="5">
        <v>0</v>
      </c>
      <c r="BR123" s="5">
        <v>0</v>
      </c>
      <c r="BS123" s="5">
        <v>0</v>
      </c>
      <c r="BT123" s="5">
        <v>0</v>
      </c>
      <c r="BU123" s="5">
        <v>0</v>
      </c>
      <c r="BV123" s="5">
        <v>0</v>
      </c>
      <c r="BW123" s="5">
        <v>0</v>
      </c>
      <c r="BX123" s="5">
        <v>0</v>
      </c>
      <c r="BY123" s="5">
        <v>0</v>
      </c>
      <c r="BZ123" s="5">
        <v>0</v>
      </c>
      <c r="CA123" s="5">
        <v>0</v>
      </c>
      <c r="CB123" s="5">
        <v>0</v>
      </c>
      <c r="CC123" s="5">
        <v>0</v>
      </c>
      <c r="CD123" s="5">
        <v>0</v>
      </c>
      <c r="CE123" s="5">
        <v>0</v>
      </c>
      <c r="CF123" s="5">
        <v>0</v>
      </c>
      <c r="CG123" s="5">
        <v>0</v>
      </c>
      <c r="CH123" s="5">
        <v>0</v>
      </c>
      <c r="CI123" s="5">
        <v>0</v>
      </c>
      <c r="CJ123" s="5">
        <v>0</v>
      </c>
      <c r="CK123" s="5">
        <v>1.10000064040724</v>
      </c>
      <c r="CL123" s="5">
        <v>1.10000064040724</v>
      </c>
      <c r="CM123" s="5">
        <v>0.32</v>
      </c>
      <c r="CN123" s="5">
        <v>0.32</v>
      </c>
      <c r="CO123" s="5">
        <v>1.1000000000000001</v>
      </c>
      <c r="CP123" s="5">
        <v>0.31</v>
      </c>
      <c r="CQ123" s="5">
        <v>1.1000000000000001</v>
      </c>
      <c r="CR123" s="5">
        <v>0.31</v>
      </c>
      <c r="CS123" s="5">
        <v>1.1000000000000001</v>
      </c>
      <c r="CT123" s="5">
        <v>0.31</v>
      </c>
      <c r="CU123" s="5">
        <v>459983</v>
      </c>
      <c r="CV123" s="5">
        <v>0.9</v>
      </c>
      <c r="CW123" s="5">
        <v>2</v>
      </c>
      <c r="CX123" s="5">
        <v>0.45</v>
      </c>
      <c r="CY123" s="5" t="s">
        <v>1145</v>
      </c>
      <c r="CZ123" s="5">
        <v>57</v>
      </c>
      <c r="DA123" s="5">
        <v>125</v>
      </c>
      <c r="DB123" s="5">
        <v>51</v>
      </c>
      <c r="DC123" s="5">
        <v>77</v>
      </c>
      <c r="DD123" s="5" t="s">
        <v>887</v>
      </c>
      <c r="DE123" s="5" t="s">
        <v>0</v>
      </c>
      <c r="DF123" s="5">
        <f t="shared" si="2"/>
        <v>182.54000000000022</v>
      </c>
      <c r="DG123" s="5">
        <v>121</v>
      </c>
      <c r="DH123" s="5">
        <f t="shared" si="3"/>
        <v>182.40000000000012</v>
      </c>
    </row>
    <row r="124" spans="1:112" s="5" customFormat="1" hidden="1" x14ac:dyDescent="0.35">
      <c r="A124" s="5">
        <v>62425</v>
      </c>
      <c r="B124" s="5">
        <v>62425</v>
      </c>
      <c r="D124" s="5" t="s">
        <v>121</v>
      </c>
      <c r="E124" s="5" t="s">
        <v>99</v>
      </c>
      <c r="F124" s="5" t="s">
        <v>104</v>
      </c>
      <c r="G124" s="5" t="s">
        <v>119</v>
      </c>
      <c r="J124" s="5">
        <v>356528119</v>
      </c>
      <c r="K124" s="5" t="s">
        <v>293</v>
      </c>
      <c r="L124" s="5" t="s">
        <v>273</v>
      </c>
      <c r="M124" s="5" t="s">
        <v>39</v>
      </c>
      <c r="P124" s="5" t="s">
        <v>38</v>
      </c>
      <c r="Q124" s="5" t="s">
        <v>37</v>
      </c>
      <c r="V124" s="5" t="s">
        <v>36</v>
      </c>
      <c r="AE124" s="5" t="s">
        <v>35</v>
      </c>
      <c r="AI124" s="5" t="s">
        <v>1148</v>
      </c>
      <c r="AK124" s="5" t="s">
        <v>1147</v>
      </c>
      <c r="AM124" s="5" t="s">
        <v>782</v>
      </c>
      <c r="AN124" s="5" t="s">
        <v>113</v>
      </c>
      <c r="AO124" s="5" t="s">
        <v>273</v>
      </c>
      <c r="AP124" s="5" t="s">
        <v>293</v>
      </c>
      <c r="AQ124" s="5" t="s">
        <v>1146</v>
      </c>
      <c r="AR124" s="6">
        <v>44094</v>
      </c>
      <c r="AX124" s="5">
        <v>11</v>
      </c>
      <c r="AY124" s="5">
        <v>661478</v>
      </c>
      <c r="AZ124" s="5">
        <v>5524388</v>
      </c>
      <c r="BA124" s="5">
        <v>10280</v>
      </c>
      <c r="BB124" s="5" t="s">
        <v>295</v>
      </c>
      <c r="BC124" s="5" t="s">
        <v>294</v>
      </c>
      <c r="BD124" s="5" t="s">
        <v>94</v>
      </c>
      <c r="BE124" s="5" t="s">
        <v>293</v>
      </c>
      <c r="BF124" s="5" t="s">
        <v>292</v>
      </c>
      <c r="BG124" s="5">
        <v>3</v>
      </c>
      <c r="BM124" s="5">
        <v>0</v>
      </c>
      <c r="BN124" s="5">
        <v>0</v>
      </c>
      <c r="BO124" s="5">
        <v>0</v>
      </c>
      <c r="BP124" s="5">
        <v>0</v>
      </c>
      <c r="BQ124" s="5">
        <v>0</v>
      </c>
      <c r="BR124" s="5">
        <v>0</v>
      </c>
      <c r="BS124" s="5">
        <v>0</v>
      </c>
      <c r="BT124" s="5">
        <v>0</v>
      </c>
      <c r="BU124" s="5">
        <v>0</v>
      </c>
      <c r="BV124" s="5">
        <v>0</v>
      </c>
      <c r="BW124" s="5">
        <v>0</v>
      </c>
      <c r="BX124" s="5">
        <v>0</v>
      </c>
      <c r="BY124" s="5">
        <v>0</v>
      </c>
      <c r="BZ124" s="5">
        <v>0</v>
      </c>
      <c r="CA124" s="5">
        <v>0</v>
      </c>
      <c r="CB124" s="5">
        <v>0</v>
      </c>
      <c r="CC124" s="5">
        <v>0</v>
      </c>
      <c r="CD124" s="5">
        <v>0</v>
      </c>
      <c r="CE124" s="5">
        <v>0</v>
      </c>
      <c r="CF124" s="5">
        <v>0</v>
      </c>
      <c r="CG124" s="5">
        <v>0</v>
      </c>
      <c r="CH124" s="5">
        <v>0</v>
      </c>
      <c r="CI124" s="5">
        <v>0</v>
      </c>
      <c r="CJ124" s="5">
        <v>0</v>
      </c>
      <c r="CK124" s="5">
        <v>0.785000640407164</v>
      </c>
      <c r="CL124" s="5">
        <v>0.785000640407164</v>
      </c>
      <c r="CM124" s="5">
        <v>0.57999999999999996</v>
      </c>
      <c r="CN124" s="5">
        <v>0.57999999999999996</v>
      </c>
      <c r="CO124" s="5">
        <v>0.79</v>
      </c>
      <c r="CP124" s="5">
        <v>0.59</v>
      </c>
      <c r="CQ124" s="5">
        <v>0.79</v>
      </c>
      <c r="CR124" s="5">
        <v>0.59</v>
      </c>
      <c r="CS124" s="5">
        <v>0.79</v>
      </c>
      <c r="CT124" s="5">
        <v>0.59</v>
      </c>
      <c r="CU124" s="5">
        <v>459983</v>
      </c>
      <c r="CV124" s="5">
        <v>0.9</v>
      </c>
      <c r="CW124" s="5">
        <v>2</v>
      </c>
      <c r="CX124" s="5">
        <v>0.45</v>
      </c>
      <c r="CY124" s="5" t="s">
        <v>1145</v>
      </c>
      <c r="CZ124" s="5">
        <v>57</v>
      </c>
      <c r="DA124" s="5">
        <v>125</v>
      </c>
      <c r="DB124" s="5">
        <v>51</v>
      </c>
      <c r="DC124" s="5">
        <v>77</v>
      </c>
      <c r="DD124" s="5" t="s">
        <v>887</v>
      </c>
      <c r="DE124" s="5" t="s">
        <v>0</v>
      </c>
      <c r="DF124" s="5">
        <f t="shared" si="2"/>
        <v>182.99000000000021</v>
      </c>
      <c r="DG124" s="5">
        <v>122</v>
      </c>
      <c r="DH124" s="5">
        <f t="shared" si="3"/>
        <v>182.99000000000012</v>
      </c>
    </row>
    <row r="125" spans="1:112" hidden="1" x14ac:dyDescent="0.35">
      <c r="A125">
        <v>1004606800</v>
      </c>
      <c r="D125" t="s">
        <v>100</v>
      </c>
      <c r="E125" t="s">
        <v>180</v>
      </c>
      <c r="F125" t="s">
        <v>104</v>
      </c>
      <c r="G125" t="s">
        <v>103</v>
      </c>
      <c r="I125" t="s">
        <v>7</v>
      </c>
      <c r="J125">
        <v>356562624</v>
      </c>
      <c r="AL125">
        <v>4606800</v>
      </c>
      <c r="AX125">
        <v>11</v>
      </c>
      <c r="AY125">
        <v>644277</v>
      </c>
      <c r="AZ125">
        <v>5471738</v>
      </c>
      <c r="BA125">
        <v>425.11000764877599</v>
      </c>
      <c r="BB125" t="s">
        <v>1143</v>
      </c>
      <c r="BC125" t="s">
        <v>1142</v>
      </c>
      <c r="BD125" t="s">
        <v>94</v>
      </c>
      <c r="BF125" t="s">
        <v>449</v>
      </c>
      <c r="BG125">
        <v>1</v>
      </c>
      <c r="BH125">
        <v>1004600013</v>
      </c>
      <c r="BI125">
        <v>1</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0.420561236510131</v>
      </c>
      <c r="CM125">
        <v>0</v>
      </c>
      <c r="CN125">
        <v>0</v>
      </c>
      <c r="CO125">
        <v>0</v>
      </c>
      <c r="CP125">
        <v>0</v>
      </c>
      <c r="CQ125">
        <v>0.42</v>
      </c>
      <c r="CR125">
        <v>0</v>
      </c>
      <c r="CS125">
        <v>0.42</v>
      </c>
      <c r="CT125">
        <v>0</v>
      </c>
      <c r="CU125">
        <v>2182</v>
      </c>
      <c r="CV125">
        <v>0.42</v>
      </c>
      <c r="CW125">
        <v>2</v>
      </c>
      <c r="CX125">
        <v>0.21</v>
      </c>
      <c r="CZ125">
        <v>79</v>
      </c>
      <c r="DA125">
        <v>94</v>
      </c>
      <c r="DB125">
        <v>85</v>
      </c>
      <c r="DC125">
        <v>78</v>
      </c>
      <c r="DD125" t="s">
        <v>887</v>
      </c>
      <c r="DE125" t="s">
        <v>0</v>
      </c>
      <c r="DF125">
        <f t="shared" si="2"/>
        <v>183.20000000000022</v>
      </c>
      <c r="DG125">
        <v>123</v>
      </c>
      <c r="DH125">
        <f t="shared" si="3"/>
        <v>182.99000000000012</v>
      </c>
    </row>
    <row r="126" spans="1:112" hidden="1" x14ac:dyDescent="0.35">
      <c r="A126">
        <v>1004600013</v>
      </c>
      <c r="D126" t="s">
        <v>100</v>
      </c>
      <c r="E126" t="s">
        <v>120</v>
      </c>
      <c r="F126" t="s">
        <v>104</v>
      </c>
      <c r="G126" t="s">
        <v>103</v>
      </c>
      <c r="H126" t="s">
        <v>1144</v>
      </c>
      <c r="J126">
        <v>356562624</v>
      </c>
      <c r="AL126">
        <v>4600013</v>
      </c>
      <c r="AX126">
        <v>11</v>
      </c>
      <c r="AY126">
        <v>644295</v>
      </c>
      <c r="AZ126">
        <v>5471817</v>
      </c>
      <c r="BA126">
        <v>506.23571443005198</v>
      </c>
      <c r="BB126" t="s">
        <v>1143</v>
      </c>
      <c r="BC126" t="s">
        <v>1142</v>
      </c>
      <c r="BD126" t="s">
        <v>94</v>
      </c>
      <c r="BF126" t="s">
        <v>1141</v>
      </c>
      <c r="BG126">
        <v>2</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0.420561236510131</v>
      </c>
      <c r="CM126">
        <v>0</v>
      </c>
      <c r="CN126">
        <v>0.42</v>
      </c>
      <c r="CO126">
        <v>0</v>
      </c>
      <c r="CP126">
        <v>0</v>
      </c>
      <c r="CQ126">
        <v>0.42</v>
      </c>
      <c r="CR126">
        <v>0.42</v>
      </c>
      <c r="CS126">
        <v>0.42</v>
      </c>
      <c r="CT126">
        <v>0.42</v>
      </c>
      <c r="CU126">
        <v>2182</v>
      </c>
      <c r="CV126">
        <v>0.42</v>
      </c>
      <c r="CW126">
        <v>2</v>
      </c>
      <c r="CX126">
        <v>0.21</v>
      </c>
      <c r="CZ126">
        <v>79</v>
      </c>
      <c r="DA126">
        <v>94</v>
      </c>
      <c r="DB126">
        <v>85</v>
      </c>
      <c r="DC126">
        <v>78</v>
      </c>
      <c r="DD126" t="s">
        <v>887</v>
      </c>
      <c r="DE126" t="s">
        <v>0</v>
      </c>
      <c r="DF126">
        <f t="shared" si="2"/>
        <v>183.41000000000022</v>
      </c>
      <c r="DG126">
        <v>124</v>
      </c>
      <c r="DH126">
        <f t="shared" si="3"/>
        <v>183.41000000000011</v>
      </c>
    </row>
    <row r="127" spans="1:112" hidden="1" x14ac:dyDescent="0.35">
      <c r="A127">
        <v>1004607029</v>
      </c>
      <c r="D127" t="s">
        <v>100</v>
      </c>
      <c r="E127" t="s">
        <v>99</v>
      </c>
      <c r="F127" t="s">
        <v>104</v>
      </c>
      <c r="G127" t="s">
        <v>103</v>
      </c>
      <c r="J127">
        <v>356429145</v>
      </c>
      <c r="AL127">
        <v>4607029</v>
      </c>
      <c r="AX127">
        <v>11</v>
      </c>
      <c r="AY127">
        <v>655033</v>
      </c>
      <c r="AZ127">
        <v>5552826</v>
      </c>
      <c r="BA127">
        <v>180.57628379256099</v>
      </c>
      <c r="BB127" t="s">
        <v>1140</v>
      </c>
      <c r="BC127" t="s">
        <v>1140</v>
      </c>
      <c r="BD127" t="s">
        <v>94</v>
      </c>
      <c r="BF127" t="s">
        <v>449</v>
      </c>
      <c r="BG127">
        <v>1</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0.32627411964485398</v>
      </c>
      <c r="CL127">
        <v>0</v>
      </c>
      <c r="CM127">
        <v>0.32627411964485398</v>
      </c>
      <c r="CN127">
        <v>0</v>
      </c>
      <c r="CO127">
        <v>0.33</v>
      </c>
      <c r="CP127">
        <v>0.33</v>
      </c>
      <c r="CQ127">
        <v>0</v>
      </c>
      <c r="CR127">
        <v>0</v>
      </c>
      <c r="CS127">
        <v>0.33</v>
      </c>
      <c r="CT127">
        <v>0.33</v>
      </c>
      <c r="CU127">
        <v>283402</v>
      </c>
      <c r="CV127">
        <v>0.33</v>
      </c>
      <c r="CW127">
        <v>1</v>
      </c>
      <c r="CX127">
        <v>0.33</v>
      </c>
      <c r="CZ127">
        <v>71</v>
      </c>
      <c r="DA127">
        <v>86</v>
      </c>
      <c r="DB127">
        <v>94</v>
      </c>
      <c r="DC127">
        <v>79</v>
      </c>
      <c r="DD127" t="s">
        <v>887</v>
      </c>
      <c r="DE127" t="s">
        <v>0</v>
      </c>
      <c r="DF127">
        <f t="shared" si="2"/>
        <v>183.74000000000024</v>
      </c>
      <c r="DG127">
        <v>125</v>
      </c>
      <c r="DH127">
        <f t="shared" si="3"/>
        <v>183.74000000000012</v>
      </c>
    </row>
    <row r="128" spans="1:112" hidden="1" x14ac:dyDescent="0.35">
      <c r="A128">
        <v>1024747094</v>
      </c>
      <c r="D128" t="s">
        <v>100</v>
      </c>
      <c r="E128" t="s">
        <v>99</v>
      </c>
      <c r="F128" t="s">
        <v>104</v>
      </c>
      <c r="G128" t="s">
        <v>103</v>
      </c>
      <c r="J128">
        <v>356557724</v>
      </c>
      <c r="AL128">
        <v>24747094</v>
      </c>
      <c r="AX128">
        <v>11</v>
      </c>
      <c r="AY128">
        <v>648185</v>
      </c>
      <c r="AZ128">
        <v>5552002</v>
      </c>
      <c r="BA128">
        <v>3541.8822919776298</v>
      </c>
      <c r="BB128" t="s">
        <v>599</v>
      </c>
      <c r="BC128" t="s">
        <v>1139</v>
      </c>
      <c r="BD128" t="s">
        <v>94</v>
      </c>
      <c r="BF128" t="s">
        <v>449</v>
      </c>
      <c r="BG128">
        <v>1</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0.33435437634419002</v>
      </c>
      <c r="CM128">
        <v>0</v>
      </c>
      <c r="CN128">
        <v>0.33</v>
      </c>
      <c r="CO128">
        <v>0</v>
      </c>
      <c r="CP128">
        <v>0</v>
      </c>
      <c r="CQ128">
        <v>0.33</v>
      </c>
      <c r="CR128">
        <v>0.33</v>
      </c>
      <c r="CS128">
        <v>0.33</v>
      </c>
      <c r="CT128">
        <v>0.33</v>
      </c>
      <c r="CU128">
        <v>348802</v>
      </c>
      <c r="CV128">
        <v>0.33</v>
      </c>
      <c r="CW128">
        <v>1</v>
      </c>
      <c r="CX128">
        <v>0.33</v>
      </c>
      <c r="CZ128">
        <v>71</v>
      </c>
      <c r="DA128">
        <v>84</v>
      </c>
      <c r="DB128">
        <v>96</v>
      </c>
      <c r="DC128">
        <v>80</v>
      </c>
      <c r="DD128" t="s">
        <v>887</v>
      </c>
      <c r="DE128" t="s">
        <v>0</v>
      </c>
      <c r="DF128">
        <f t="shared" si="2"/>
        <v>184.07000000000025</v>
      </c>
      <c r="DG128">
        <v>126</v>
      </c>
      <c r="DH128">
        <f t="shared" si="3"/>
        <v>184.07000000000014</v>
      </c>
    </row>
    <row r="129" spans="1:112" hidden="1" x14ac:dyDescent="0.35">
      <c r="A129">
        <v>1004600350</v>
      </c>
      <c r="D129" t="s">
        <v>100</v>
      </c>
      <c r="E129" t="s">
        <v>120</v>
      </c>
      <c r="F129" t="s">
        <v>104</v>
      </c>
      <c r="G129" t="s">
        <v>103</v>
      </c>
      <c r="H129" t="s">
        <v>762</v>
      </c>
      <c r="J129">
        <v>356552233</v>
      </c>
      <c r="AL129">
        <v>4600350</v>
      </c>
      <c r="AX129">
        <v>11</v>
      </c>
      <c r="AY129">
        <v>659899</v>
      </c>
      <c r="AZ129">
        <v>5500307</v>
      </c>
      <c r="BA129">
        <v>78.468284094117706</v>
      </c>
      <c r="BB129" t="s">
        <v>926</v>
      </c>
      <c r="BC129" t="s">
        <v>926</v>
      </c>
      <c r="BD129" t="s">
        <v>94</v>
      </c>
      <c r="BF129" t="s">
        <v>449</v>
      </c>
      <c r="BG129">
        <v>1</v>
      </c>
      <c r="BH129" t="s">
        <v>1138</v>
      </c>
      <c r="BI129">
        <v>4</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0.60300025753951103</v>
      </c>
      <c r="CM129">
        <v>0</v>
      </c>
      <c r="CN129">
        <v>0.03</v>
      </c>
      <c r="CO129">
        <v>0</v>
      </c>
      <c r="CP129">
        <v>0</v>
      </c>
      <c r="CQ129">
        <v>0.6</v>
      </c>
      <c r="CR129">
        <v>0.02</v>
      </c>
      <c r="CS129">
        <v>0.6</v>
      </c>
      <c r="CT129">
        <v>0.02</v>
      </c>
      <c r="CU129">
        <v>82842</v>
      </c>
      <c r="CV129">
        <v>0.38</v>
      </c>
      <c r="CW129">
        <v>3</v>
      </c>
      <c r="CX129">
        <v>0.12666666666666701</v>
      </c>
      <c r="CZ129">
        <v>90</v>
      </c>
      <c r="DA129">
        <v>106</v>
      </c>
      <c r="DB129">
        <v>76</v>
      </c>
      <c r="DC129">
        <v>81</v>
      </c>
      <c r="DD129" t="s">
        <v>887</v>
      </c>
      <c r="DE129" t="s">
        <v>0</v>
      </c>
      <c r="DF129">
        <f t="shared" si="2"/>
        <v>184.19666666666691</v>
      </c>
      <c r="DG129">
        <v>127</v>
      </c>
      <c r="DH129">
        <f t="shared" si="3"/>
        <v>184.09000000000015</v>
      </c>
    </row>
    <row r="130" spans="1:112" hidden="1" x14ac:dyDescent="0.35">
      <c r="A130">
        <v>1004606794</v>
      </c>
      <c r="D130" t="s">
        <v>100</v>
      </c>
      <c r="E130" t="s">
        <v>180</v>
      </c>
      <c r="F130" t="s">
        <v>104</v>
      </c>
      <c r="G130" t="s">
        <v>103</v>
      </c>
      <c r="I130" t="s">
        <v>7</v>
      </c>
      <c r="J130">
        <v>356552233</v>
      </c>
      <c r="AL130">
        <v>4606794</v>
      </c>
      <c r="AX130">
        <v>11</v>
      </c>
      <c r="AY130">
        <v>659926</v>
      </c>
      <c r="AZ130">
        <v>5500309</v>
      </c>
      <c r="BA130">
        <v>106.26537070813001</v>
      </c>
      <c r="BB130" t="s">
        <v>926</v>
      </c>
      <c r="BC130" t="s">
        <v>926</v>
      </c>
      <c r="BD130" t="s">
        <v>94</v>
      </c>
      <c r="BF130" t="s">
        <v>1137</v>
      </c>
      <c r="BG130">
        <v>2</v>
      </c>
      <c r="BH130" t="s">
        <v>1136</v>
      </c>
      <c r="BI130">
        <v>3</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0.57500025753952</v>
      </c>
      <c r="CM130">
        <v>0</v>
      </c>
      <c r="CN130">
        <v>0.04</v>
      </c>
      <c r="CO130">
        <v>0</v>
      </c>
      <c r="CP130">
        <v>0</v>
      </c>
      <c r="CQ130">
        <v>0.57999999999999996</v>
      </c>
      <c r="CR130">
        <v>0.05</v>
      </c>
      <c r="CS130">
        <v>0.57999999999999996</v>
      </c>
      <c r="CT130">
        <v>0.05</v>
      </c>
      <c r="CU130">
        <v>82842</v>
      </c>
      <c r="CV130">
        <v>0.38</v>
      </c>
      <c r="CW130">
        <v>3</v>
      </c>
      <c r="CX130">
        <v>0.12666666666666701</v>
      </c>
      <c r="CZ130">
        <v>90</v>
      </c>
      <c r="DA130">
        <v>106</v>
      </c>
      <c r="DB130">
        <v>76</v>
      </c>
      <c r="DC130">
        <v>81</v>
      </c>
      <c r="DD130" t="s">
        <v>887</v>
      </c>
      <c r="DE130" t="s">
        <v>0</v>
      </c>
      <c r="DF130">
        <f t="shared" si="2"/>
        <v>184.32333333333358</v>
      </c>
      <c r="DG130">
        <v>128</v>
      </c>
      <c r="DH130">
        <f t="shared" si="3"/>
        <v>184.14000000000016</v>
      </c>
    </row>
    <row r="131" spans="1:112" hidden="1" x14ac:dyDescent="0.35">
      <c r="A131">
        <v>1004600115</v>
      </c>
      <c r="D131" t="s">
        <v>100</v>
      </c>
      <c r="E131" t="s">
        <v>120</v>
      </c>
      <c r="F131" t="s">
        <v>104</v>
      </c>
      <c r="G131" t="s">
        <v>103</v>
      </c>
      <c r="H131" t="s">
        <v>1135</v>
      </c>
      <c r="J131">
        <v>356552233</v>
      </c>
      <c r="AL131">
        <v>4600115</v>
      </c>
      <c r="AX131">
        <v>11</v>
      </c>
      <c r="AY131">
        <v>659958</v>
      </c>
      <c r="AZ131">
        <v>5500294</v>
      </c>
      <c r="BA131">
        <v>148.67303742780601</v>
      </c>
      <c r="BB131" t="s">
        <v>926</v>
      </c>
      <c r="BC131" t="s">
        <v>925</v>
      </c>
      <c r="BD131" t="s">
        <v>94</v>
      </c>
      <c r="BF131" t="s">
        <v>1134</v>
      </c>
      <c r="BG131">
        <v>3</v>
      </c>
      <c r="BH131" t="s">
        <v>1133</v>
      </c>
      <c r="BI131">
        <v>2</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0.53200065347200098</v>
      </c>
      <c r="CM131">
        <v>0</v>
      </c>
      <c r="CN131">
        <v>0.32</v>
      </c>
      <c r="CO131">
        <v>0</v>
      </c>
      <c r="CP131">
        <v>0</v>
      </c>
      <c r="CQ131">
        <v>0.53</v>
      </c>
      <c r="CR131">
        <v>0.31</v>
      </c>
      <c r="CS131">
        <v>0.53</v>
      </c>
      <c r="CT131">
        <v>0.31</v>
      </c>
      <c r="CU131">
        <v>82842</v>
      </c>
      <c r="CV131">
        <v>0.38</v>
      </c>
      <c r="CW131">
        <v>3</v>
      </c>
      <c r="CX131">
        <v>0.12666666666666701</v>
      </c>
      <c r="CZ131">
        <v>90</v>
      </c>
      <c r="DA131">
        <v>106</v>
      </c>
      <c r="DB131">
        <v>76</v>
      </c>
      <c r="DC131">
        <v>81</v>
      </c>
      <c r="DD131" t="s">
        <v>887</v>
      </c>
      <c r="DE131" t="s">
        <v>0</v>
      </c>
      <c r="DF131">
        <f t="shared" ref="DF131:DF194" si="4">DF130+CX131</f>
        <v>184.45000000000024</v>
      </c>
      <c r="DG131">
        <v>129</v>
      </c>
      <c r="DH131">
        <f t="shared" ref="DH131:DH194" si="5">DH130+CT131</f>
        <v>184.45000000000016</v>
      </c>
    </row>
    <row r="132" spans="1:112" hidden="1" x14ac:dyDescent="0.35">
      <c r="A132">
        <v>1004606821</v>
      </c>
      <c r="D132" t="s">
        <v>100</v>
      </c>
      <c r="E132" t="s">
        <v>180</v>
      </c>
      <c r="F132" t="s">
        <v>104</v>
      </c>
      <c r="G132" t="s">
        <v>103</v>
      </c>
      <c r="I132" t="s">
        <v>7</v>
      </c>
      <c r="J132">
        <v>356549622</v>
      </c>
      <c r="AL132">
        <v>4606821</v>
      </c>
      <c r="AX132">
        <v>11</v>
      </c>
      <c r="AY132">
        <v>659888</v>
      </c>
      <c r="AZ132">
        <v>5505156</v>
      </c>
      <c r="BA132">
        <v>42.524209666162101</v>
      </c>
      <c r="BB132" t="s">
        <v>1131</v>
      </c>
      <c r="BC132" t="s">
        <v>1131</v>
      </c>
      <c r="BD132" t="s">
        <v>94</v>
      </c>
      <c r="BE132" t="s">
        <v>1129</v>
      </c>
      <c r="BF132" t="s">
        <v>449</v>
      </c>
      <c r="BG132">
        <v>1</v>
      </c>
      <c r="BH132" t="s">
        <v>1132</v>
      </c>
      <c r="BI132">
        <v>5</v>
      </c>
      <c r="BJ132">
        <v>24620120000042</v>
      </c>
      <c r="BK132">
        <v>24620120000042</v>
      </c>
      <c r="BL132">
        <v>24620120000042</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0.40518824658056402</v>
      </c>
      <c r="CL132">
        <v>0.40518824658056402</v>
      </c>
      <c r="CM132">
        <v>0.05</v>
      </c>
      <c r="CN132">
        <v>0.05</v>
      </c>
      <c r="CO132">
        <v>0.41</v>
      </c>
      <c r="CP132">
        <v>0.06</v>
      </c>
      <c r="CQ132">
        <v>0.41</v>
      </c>
      <c r="CR132">
        <v>0.06</v>
      </c>
      <c r="CS132">
        <v>0.41</v>
      </c>
      <c r="CT132">
        <v>0.06</v>
      </c>
      <c r="CU132">
        <v>270322</v>
      </c>
      <c r="CV132">
        <v>0.41</v>
      </c>
      <c r="CW132">
        <v>2</v>
      </c>
      <c r="CX132">
        <v>0.20499999999999999</v>
      </c>
      <c r="CZ132">
        <v>80</v>
      </c>
      <c r="DA132">
        <v>95</v>
      </c>
      <c r="DB132">
        <v>87</v>
      </c>
      <c r="DC132">
        <v>82</v>
      </c>
      <c r="DD132" t="s">
        <v>887</v>
      </c>
      <c r="DE132" t="s">
        <v>0</v>
      </c>
      <c r="DF132">
        <f t="shared" si="4"/>
        <v>184.65500000000026</v>
      </c>
      <c r="DG132">
        <v>130</v>
      </c>
      <c r="DH132">
        <f t="shared" si="5"/>
        <v>184.51000000000016</v>
      </c>
    </row>
    <row r="133" spans="1:112" hidden="1" x14ac:dyDescent="0.35">
      <c r="A133">
        <v>1004601403</v>
      </c>
      <c r="D133" t="s">
        <v>100</v>
      </c>
      <c r="E133" t="s">
        <v>99</v>
      </c>
      <c r="F133" t="s">
        <v>104</v>
      </c>
      <c r="G133" t="s">
        <v>103</v>
      </c>
      <c r="J133">
        <v>356549622</v>
      </c>
      <c r="AL133">
        <v>4601403</v>
      </c>
      <c r="AX133">
        <v>11</v>
      </c>
      <c r="AY133">
        <v>660671</v>
      </c>
      <c r="AZ133">
        <v>5505743</v>
      </c>
      <c r="BA133">
        <v>1132.71392038561</v>
      </c>
      <c r="BB133" t="s">
        <v>1131</v>
      </c>
      <c r="BC133" t="s">
        <v>1130</v>
      </c>
      <c r="BD133" t="s">
        <v>94</v>
      </c>
      <c r="BE133" t="s">
        <v>1129</v>
      </c>
      <c r="BF133" t="s">
        <v>1128</v>
      </c>
      <c r="BG133">
        <v>2</v>
      </c>
      <c r="BH133" t="s">
        <v>1127</v>
      </c>
      <c r="BI133">
        <v>4</v>
      </c>
      <c r="BJ133">
        <v>24620120000042</v>
      </c>
      <c r="BK133">
        <v>24620120000042</v>
      </c>
      <c r="BL133">
        <v>24620120000042</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0.35463778748939501</v>
      </c>
      <c r="CL133">
        <v>0.35463778748939501</v>
      </c>
      <c r="CM133">
        <v>0.35</v>
      </c>
      <c r="CN133">
        <v>0.35</v>
      </c>
      <c r="CO133">
        <v>0.35</v>
      </c>
      <c r="CP133">
        <v>0.35</v>
      </c>
      <c r="CQ133">
        <v>0.35</v>
      </c>
      <c r="CR133">
        <v>0.35</v>
      </c>
      <c r="CS133">
        <v>0.35</v>
      </c>
      <c r="CT133">
        <v>0.35</v>
      </c>
      <c r="CU133">
        <v>270322</v>
      </c>
      <c r="CV133">
        <v>0.41</v>
      </c>
      <c r="CW133">
        <v>2</v>
      </c>
      <c r="CX133">
        <v>0.20499999999999999</v>
      </c>
      <c r="CZ133">
        <v>80</v>
      </c>
      <c r="DA133">
        <v>95</v>
      </c>
      <c r="DB133">
        <v>87</v>
      </c>
      <c r="DC133">
        <v>82</v>
      </c>
      <c r="DD133" t="s">
        <v>887</v>
      </c>
      <c r="DE133" t="s">
        <v>0</v>
      </c>
      <c r="DF133">
        <f t="shared" si="4"/>
        <v>184.86000000000027</v>
      </c>
      <c r="DG133">
        <v>131</v>
      </c>
      <c r="DH133">
        <f t="shared" si="5"/>
        <v>184.86000000000016</v>
      </c>
    </row>
    <row r="134" spans="1:112" hidden="1" x14ac:dyDescent="0.35">
      <c r="A134">
        <v>1024735050</v>
      </c>
      <c r="D134" t="s">
        <v>100</v>
      </c>
      <c r="E134" t="s">
        <v>99</v>
      </c>
      <c r="F134" t="s">
        <v>104</v>
      </c>
      <c r="G134" t="s">
        <v>103</v>
      </c>
      <c r="J134">
        <v>356545039</v>
      </c>
      <c r="AL134">
        <v>24735050</v>
      </c>
      <c r="AX134">
        <v>11</v>
      </c>
      <c r="AY134">
        <v>650508</v>
      </c>
      <c r="AZ134">
        <v>5531267</v>
      </c>
      <c r="BA134">
        <v>1302.4836677401499</v>
      </c>
      <c r="BB134" t="s">
        <v>1126</v>
      </c>
      <c r="BC134" t="s">
        <v>1126</v>
      </c>
      <c r="BD134" t="s">
        <v>94</v>
      </c>
      <c r="BF134" t="s">
        <v>449</v>
      </c>
      <c r="BG134">
        <v>1</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0.32800000000021101</v>
      </c>
      <c r="CM134">
        <v>0</v>
      </c>
      <c r="CN134">
        <v>0.33</v>
      </c>
      <c r="CO134">
        <v>0</v>
      </c>
      <c r="CP134">
        <v>0</v>
      </c>
      <c r="CQ134">
        <v>0.33</v>
      </c>
      <c r="CR134">
        <v>0.33</v>
      </c>
      <c r="CS134">
        <v>0.33</v>
      </c>
      <c r="CT134">
        <v>0.33</v>
      </c>
      <c r="CU134">
        <v>344442</v>
      </c>
      <c r="CV134">
        <v>0.33</v>
      </c>
      <c r="CW134">
        <v>1</v>
      </c>
      <c r="CX134">
        <v>0.33</v>
      </c>
      <c r="CZ134">
        <v>71</v>
      </c>
      <c r="DA134">
        <v>87</v>
      </c>
      <c r="DB134">
        <v>95</v>
      </c>
      <c r="DC134">
        <v>83</v>
      </c>
      <c r="DD134" t="s">
        <v>887</v>
      </c>
      <c r="DE134" t="s">
        <v>0</v>
      </c>
      <c r="DF134">
        <f t="shared" si="4"/>
        <v>185.19000000000028</v>
      </c>
      <c r="DG134">
        <v>132</v>
      </c>
      <c r="DH134">
        <f t="shared" si="5"/>
        <v>185.19000000000017</v>
      </c>
    </row>
    <row r="135" spans="1:112" x14ac:dyDescent="0.35">
      <c r="A135">
        <v>62505</v>
      </c>
      <c r="B135">
        <v>62505</v>
      </c>
      <c r="C135" t="s">
        <v>1125</v>
      </c>
      <c r="D135" t="s">
        <v>121</v>
      </c>
      <c r="E135" t="s">
        <v>120</v>
      </c>
      <c r="F135" t="s">
        <v>98</v>
      </c>
      <c r="G135" t="s">
        <v>97</v>
      </c>
      <c r="H135" t="s">
        <v>774</v>
      </c>
      <c r="J135">
        <v>356491611</v>
      </c>
      <c r="K135" t="s">
        <v>15</v>
      </c>
      <c r="L135" t="s">
        <v>1124</v>
      </c>
      <c r="M135" t="s">
        <v>39</v>
      </c>
      <c r="N135" t="s">
        <v>1123</v>
      </c>
      <c r="P135" t="s">
        <v>1122</v>
      </c>
      <c r="Q135" t="s">
        <v>1121</v>
      </c>
      <c r="Z135" t="s">
        <v>1120</v>
      </c>
      <c r="AA135" t="s">
        <v>819</v>
      </c>
      <c r="AB135" s="1">
        <v>45199</v>
      </c>
      <c r="AC135">
        <v>211000</v>
      </c>
      <c r="AD135">
        <v>251000</v>
      </c>
      <c r="AE135" t="s">
        <v>1119</v>
      </c>
      <c r="AF135" s="1">
        <v>45869</v>
      </c>
      <c r="AG135" t="s">
        <v>819</v>
      </c>
      <c r="AI135" t="s">
        <v>1118</v>
      </c>
      <c r="AK135" t="s">
        <v>1117</v>
      </c>
      <c r="AL135">
        <v>4602146</v>
      </c>
      <c r="AM135" t="s">
        <v>1116</v>
      </c>
      <c r="AN135" t="s">
        <v>202</v>
      </c>
      <c r="AO135" t="s">
        <v>1115</v>
      </c>
      <c r="AP135" t="s">
        <v>15</v>
      </c>
      <c r="AQ135" t="s">
        <v>1114</v>
      </c>
      <c r="AR135" s="1">
        <v>44482</v>
      </c>
      <c r="AX135">
        <v>11</v>
      </c>
      <c r="AY135">
        <v>636942</v>
      </c>
      <c r="AZ135">
        <v>5483776</v>
      </c>
      <c r="BA135">
        <v>73</v>
      </c>
      <c r="BB135" t="s">
        <v>335</v>
      </c>
      <c r="BC135" t="s">
        <v>335</v>
      </c>
      <c r="BD135" t="s">
        <v>94</v>
      </c>
      <c r="BF135" t="s">
        <v>449</v>
      </c>
      <c r="BG135">
        <v>1</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0.25000000000002598</v>
      </c>
      <c r="CL135">
        <v>0.25000000000002598</v>
      </c>
      <c r="CM135">
        <v>0.25</v>
      </c>
      <c r="CN135">
        <v>0.25</v>
      </c>
      <c r="CO135">
        <v>0.25</v>
      </c>
      <c r="CP135">
        <v>0.25</v>
      </c>
      <c r="CQ135">
        <v>0.25</v>
      </c>
      <c r="CR135">
        <v>0.25</v>
      </c>
      <c r="CS135">
        <v>0.25</v>
      </c>
      <c r="CT135">
        <v>0.25</v>
      </c>
      <c r="CU135">
        <v>466522</v>
      </c>
      <c r="CV135">
        <v>0.25</v>
      </c>
      <c r="CW135">
        <v>1</v>
      </c>
      <c r="CX135">
        <v>0.25</v>
      </c>
      <c r="CZ135">
        <v>75</v>
      </c>
      <c r="DA135">
        <v>89</v>
      </c>
      <c r="DB135">
        <v>99</v>
      </c>
      <c r="DC135">
        <v>84</v>
      </c>
      <c r="DD135" t="s">
        <v>887</v>
      </c>
      <c r="DE135" t="s">
        <v>0</v>
      </c>
      <c r="DF135">
        <f t="shared" si="4"/>
        <v>185.44000000000028</v>
      </c>
      <c r="DG135">
        <v>133</v>
      </c>
      <c r="DH135">
        <f t="shared" si="5"/>
        <v>185.44000000000017</v>
      </c>
    </row>
    <row r="136" spans="1:112" s="5" customFormat="1" hidden="1" x14ac:dyDescent="0.35">
      <c r="A136" s="5">
        <v>197833</v>
      </c>
      <c r="B136" s="5">
        <v>197833</v>
      </c>
      <c r="D136" s="5" t="s">
        <v>121</v>
      </c>
      <c r="E136" s="5" t="s">
        <v>120</v>
      </c>
      <c r="F136" s="5" t="s">
        <v>104</v>
      </c>
      <c r="G136" s="5" t="s">
        <v>119</v>
      </c>
      <c r="H136" s="5" t="s">
        <v>525</v>
      </c>
      <c r="J136" s="5">
        <v>356569015</v>
      </c>
      <c r="K136" s="5" t="s">
        <v>143</v>
      </c>
      <c r="L136" s="5" t="s">
        <v>676</v>
      </c>
      <c r="M136" s="5" t="s">
        <v>39</v>
      </c>
      <c r="N136" s="5" t="s">
        <v>970</v>
      </c>
      <c r="P136" s="5" t="s">
        <v>38</v>
      </c>
      <c r="Q136" s="5" t="s">
        <v>4</v>
      </c>
      <c r="V136" s="5" t="s">
        <v>36</v>
      </c>
      <c r="AE136" s="5" t="s">
        <v>969</v>
      </c>
      <c r="AI136" s="5" t="s">
        <v>1113</v>
      </c>
      <c r="AJ136" s="5" t="s">
        <v>1112</v>
      </c>
      <c r="AK136" s="5" t="s">
        <v>1111</v>
      </c>
      <c r="AL136" s="5">
        <v>4600129</v>
      </c>
      <c r="AM136" s="5" t="s">
        <v>114</v>
      </c>
      <c r="AN136" s="5" t="s">
        <v>113</v>
      </c>
      <c r="AO136" s="5" t="s">
        <v>676</v>
      </c>
      <c r="AP136" s="5" t="s">
        <v>143</v>
      </c>
      <c r="AQ136" s="5" t="s">
        <v>1110</v>
      </c>
      <c r="AR136" s="6">
        <v>44484</v>
      </c>
      <c r="AX136" s="5">
        <v>11</v>
      </c>
      <c r="AY136" s="5">
        <v>647141</v>
      </c>
      <c r="AZ136" s="5">
        <v>5494823</v>
      </c>
      <c r="BA136" s="5">
        <v>517</v>
      </c>
      <c r="BB136" s="5" t="s">
        <v>145</v>
      </c>
      <c r="BC136" s="5" t="s">
        <v>144</v>
      </c>
      <c r="BD136" s="5" t="s">
        <v>94</v>
      </c>
      <c r="BE136" s="5" t="s">
        <v>143</v>
      </c>
      <c r="BF136" s="5" t="s">
        <v>449</v>
      </c>
      <c r="BG136" s="5">
        <v>1</v>
      </c>
      <c r="BM136" s="5">
        <v>0</v>
      </c>
      <c r="BN136" s="5">
        <v>0</v>
      </c>
      <c r="BO136" s="5">
        <v>0</v>
      </c>
      <c r="BP136" s="5">
        <v>0</v>
      </c>
      <c r="BQ136" s="5">
        <v>0</v>
      </c>
      <c r="BR136" s="5">
        <v>0</v>
      </c>
      <c r="BS136" s="5">
        <v>0</v>
      </c>
      <c r="BT136" s="5">
        <v>0</v>
      </c>
      <c r="BU136" s="5">
        <v>0</v>
      </c>
      <c r="BV136" s="5">
        <v>0</v>
      </c>
      <c r="BW136" s="5">
        <v>0</v>
      </c>
      <c r="BX136" s="5">
        <v>0</v>
      </c>
      <c r="BY136" s="5">
        <v>0</v>
      </c>
      <c r="BZ136" s="5">
        <v>0</v>
      </c>
      <c r="CA136" s="5">
        <v>0</v>
      </c>
      <c r="CB136" s="5">
        <v>0</v>
      </c>
      <c r="CC136" s="5">
        <v>0</v>
      </c>
      <c r="CD136" s="5">
        <v>0</v>
      </c>
      <c r="CE136" s="5">
        <v>0</v>
      </c>
      <c r="CF136" s="5">
        <v>0</v>
      </c>
      <c r="CG136" s="5">
        <v>0</v>
      </c>
      <c r="CH136" s="5">
        <v>0</v>
      </c>
      <c r="CI136" s="5">
        <v>0</v>
      </c>
      <c r="CJ136" s="5">
        <v>0</v>
      </c>
      <c r="CK136" s="5">
        <v>0</v>
      </c>
      <c r="CL136" s="5">
        <v>0.33500000000004898</v>
      </c>
      <c r="CM136" s="5">
        <v>0</v>
      </c>
      <c r="CN136" s="5">
        <v>0.1</v>
      </c>
      <c r="CO136" s="5">
        <v>0</v>
      </c>
      <c r="CP136" s="5">
        <v>0</v>
      </c>
      <c r="CQ136" s="5">
        <v>0.34</v>
      </c>
      <c r="CR136" s="5">
        <v>0.11</v>
      </c>
      <c r="CS136" s="5">
        <v>0.34</v>
      </c>
      <c r="CT136" s="5">
        <v>0.11</v>
      </c>
      <c r="CU136" s="5">
        <v>414202</v>
      </c>
      <c r="CV136" s="5">
        <v>0.34</v>
      </c>
      <c r="CW136" s="5">
        <v>2</v>
      </c>
      <c r="CX136" s="5">
        <v>0.17</v>
      </c>
      <c r="CZ136" s="5">
        <v>84</v>
      </c>
      <c r="DA136" s="5">
        <v>97</v>
      </c>
      <c r="DB136" s="5">
        <v>92</v>
      </c>
      <c r="DC136" s="5">
        <v>85</v>
      </c>
      <c r="DD136" s="5" t="s">
        <v>887</v>
      </c>
      <c r="DE136" s="5" t="s">
        <v>0</v>
      </c>
      <c r="DF136" s="5">
        <f t="shared" si="4"/>
        <v>185.61000000000027</v>
      </c>
      <c r="DG136" s="5">
        <v>134</v>
      </c>
      <c r="DH136" s="5">
        <f t="shared" si="5"/>
        <v>185.55000000000018</v>
      </c>
    </row>
    <row r="137" spans="1:112" s="5" customFormat="1" hidden="1" x14ac:dyDescent="0.35">
      <c r="A137" s="5">
        <v>197834</v>
      </c>
      <c r="B137" s="5">
        <v>197834</v>
      </c>
      <c r="D137" s="5" t="s">
        <v>121</v>
      </c>
      <c r="E137" s="5" t="s">
        <v>180</v>
      </c>
      <c r="F137" s="5" t="s">
        <v>104</v>
      </c>
      <c r="G137" s="5" t="s">
        <v>119</v>
      </c>
      <c r="I137" s="5" t="s">
        <v>7</v>
      </c>
      <c r="J137" s="5">
        <v>356569015</v>
      </c>
      <c r="K137" s="5" t="s">
        <v>143</v>
      </c>
      <c r="L137" s="5" t="s">
        <v>1025</v>
      </c>
      <c r="M137" s="5" t="s">
        <v>39</v>
      </c>
      <c r="P137" s="5" t="s">
        <v>38</v>
      </c>
      <c r="Q137" s="5" t="s">
        <v>4</v>
      </c>
      <c r="V137" s="5" t="s">
        <v>149</v>
      </c>
      <c r="AE137" s="5" t="s">
        <v>35</v>
      </c>
      <c r="AI137" s="5" t="s">
        <v>1109</v>
      </c>
      <c r="AJ137" s="5" t="s">
        <v>1108</v>
      </c>
      <c r="AK137" s="5" t="s">
        <v>1107</v>
      </c>
      <c r="AL137" s="5">
        <v>4606711</v>
      </c>
      <c r="AM137" s="5" t="s">
        <v>114</v>
      </c>
      <c r="AN137" s="5" t="s">
        <v>113</v>
      </c>
      <c r="AO137" s="5" t="s">
        <v>1106</v>
      </c>
      <c r="AP137" s="5" t="s">
        <v>143</v>
      </c>
      <c r="AQ137" s="5" t="s">
        <v>1105</v>
      </c>
      <c r="AR137" s="6">
        <v>44484</v>
      </c>
      <c r="AX137" s="5">
        <v>11</v>
      </c>
      <c r="AY137" s="5">
        <v>647222</v>
      </c>
      <c r="AZ137" s="5">
        <v>5494759</v>
      </c>
      <c r="BA137" s="5">
        <v>621</v>
      </c>
      <c r="BB137" s="5" t="s">
        <v>145</v>
      </c>
      <c r="BC137" s="5" t="s">
        <v>144</v>
      </c>
      <c r="BD137" s="5" t="s">
        <v>94</v>
      </c>
      <c r="BE137" s="5" t="s">
        <v>143</v>
      </c>
      <c r="BF137" s="5" t="s">
        <v>1104</v>
      </c>
      <c r="BG137" s="5">
        <v>2</v>
      </c>
      <c r="BM137" s="5">
        <v>0</v>
      </c>
      <c r="BN137" s="5">
        <v>0</v>
      </c>
      <c r="BO137" s="5">
        <v>0</v>
      </c>
      <c r="BP137" s="5">
        <v>0</v>
      </c>
      <c r="BQ137" s="5">
        <v>0</v>
      </c>
      <c r="BR137" s="5">
        <v>0</v>
      </c>
      <c r="BS137" s="5">
        <v>0</v>
      </c>
      <c r="BT137" s="5">
        <v>0</v>
      </c>
      <c r="BU137" s="5">
        <v>0</v>
      </c>
      <c r="BV137" s="5">
        <v>0</v>
      </c>
      <c r="BW137" s="5">
        <v>0</v>
      </c>
      <c r="BX137" s="5">
        <v>0</v>
      </c>
      <c r="BY137" s="5">
        <v>0</v>
      </c>
      <c r="BZ137" s="5">
        <v>0</v>
      </c>
      <c r="CA137" s="5">
        <v>0</v>
      </c>
      <c r="CB137" s="5">
        <v>0</v>
      </c>
      <c r="CC137" s="5">
        <v>0</v>
      </c>
      <c r="CD137" s="5">
        <v>0</v>
      </c>
      <c r="CE137" s="5">
        <v>0</v>
      </c>
      <c r="CF137" s="5">
        <v>0</v>
      </c>
      <c r="CG137" s="5">
        <v>0</v>
      </c>
      <c r="CH137" s="5">
        <v>0</v>
      </c>
      <c r="CI137" s="5">
        <v>0</v>
      </c>
      <c r="CJ137" s="5">
        <v>0</v>
      </c>
      <c r="CK137" s="5">
        <v>0</v>
      </c>
      <c r="CL137" s="5">
        <v>0.23100000000005799</v>
      </c>
      <c r="CM137" s="5">
        <v>0</v>
      </c>
      <c r="CN137" s="5">
        <v>0.23</v>
      </c>
      <c r="CO137" s="5">
        <v>0</v>
      </c>
      <c r="CP137" s="5">
        <v>0</v>
      </c>
      <c r="CQ137" s="5">
        <v>0.23</v>
      </c>
      <c r="CR137" s="5">
        <v>0.23</v>
      </c>
      <c r="CS137" s="5">
        <v>0.23</v>
      </c>
      <c r="CT137" s="5">
        <v>0.23</v>
      </c>
      <c r="CU137" s="5">
        <v>414202</v>
      </c>
      <c r="CV137" s="5">
        <v>0.34</v>
      </c>
      <c r="CW137" s="5">
        <v>2</v>
      </c>
      <c r="CX137" s="5">
        <v>0.17</v>
      </c>
      <c r="CZ137" s="5">
        <v>84</v>
      </c>
      <c r="DA137" s="5">
        <v>97</v>
      </c>
      <c r="DB137" s="5">
        <v>92</v>
      </c>
      <c r="DC137" s="5">
        <v>85</v>
      </c>
      <c r="DD137" s="5" t="s">
        <v>887</v>
      </c>
      <c r="DE137" s="5" t="s">
        <v>0</v>
      </c>
      <c r="DF137" s="5">
        <f t="shared" si="4"/>
        <v>185.78000000000026</v>
      </c>
      <c r="DG137" s="5">
        <v>135</v>
      </c>
      <c r="DH137" s="5">
        <f t="shared" si="5"/>
        <v>185.78000000000017</v>
      </c>
    </row>
    <row r="138" spans="1:112" s="5" customFormat="1" hidden="1" x14ac:dyDescent="0.35">
      <c r="A138" s="5">
        <v>62516</v>
      </c>
      <c r="B138" s="5">
        <v>62516</v>
      </c>
      <c r="D138" s="5" t="s">
        <v>121</v>
      </c>
      <c r="E138" s="5" t="s">
        <v>120</v>
      </c>
      <c r="F138" s="5" t="s">
        <v>104</v>
      </c>
      <c r="G138" s="5" t="s">
        <v>119</v>
      </c>
      <c r="H138" s="5" t="s">
        <v>774</v>
      </c>
      <c r="J138" s="5">
        <v>356495130</v>
      </c>
      <c r="K138" s="5" t="s">
        <v>15</v>
      </c>
      <c r="L138" s="5" t="s">
        <v>40</v>
      </c>
      <c r="M138" s="5" t="s">
        <v>39</v>
      </c>
      <c r="P138" s="5" t="s">
        <v>38</v>
      </c>
      <c r="Q138" s="5" t="s">
        <v>37</v>
      </c>
      <c r="V138" s="5" t="s">
        <v>36</v>
      </c>
      <c r="AE138" s="5" t="s">
        <v>35</v>
      </c>
      <c r="AI138" s="5" t="s">
        <v>1103</v>
      </c>
      <c r="AK138" s="5" t="s">
        <v>1102</v>
      </c>
      <c r="AL138" s="5">
        <v>4602147</v>
      </c>
      <c r="AM138" s="5" t="s">
        <v>782</v>
      </c>
      <c r="AN138" s="5" t="s">
        <v>113</v>
      </c>
      <c r="AO138" s="5" t="s">
        <v>40</v>
      </c>
      <c r="AP138" s="5" t="s">
        <v>15</v>
      </c>
      <c r="AQ138" s="5" t="s">
        <v>1101</v>
      </c>
      <c r="AR138" s="6">
        <v>44097</v>
      </c>
      <c r="AX138" s="5">
        <v>11</v>
      </c>
      <c r="AY138" s="5">
        <v>636133</v>
      </c>
      <c r="AZ138" s="5">
        <v>5484086</v>
      </c>
      <c r="BA138" s="5">
        <v>179</v>
      </c>
      <c r="BB138" s="5" t="s">
        <v>384</v>
      </c>
      <c r="BC138" s="5" t="s">
        <v>384</v>
      </c>
      <c r="BD138" s="5" t="s">
        <v>94</v>
      </c>
      <c r="BF138" s="5" t="s">
        <v>449</v>
      </c>
      <c r="BG138" s="5">
        <v>1</v>
      </c>
      <c r="BM138" s="5">
        <v>0</v>
      </c>
      <c r="BN138" s="5">
        <v>0</v>
      </c>
      <c r="BO138" s="5">
        <v>0</v>
      </c>
      <c r="BP138" s="5">
        <v>0</v>
      </c>
      <c r="BQ138" s="5">
        <v>0</v>
      </c>
      <c r="BR138" s="5">
        <v>0</v>
      </c>
      <c r="BS138" s="5">
        <v>0</v>
      </c>
      <c r="BT138" s="5">
        <v>0</v>
      </c>
      <c r="BU138" s="5">
        <v>0</v>
      </c>
      <c r="BV138" s="5">
        <v>0</v>
      </c>
      <c r="BW138" s="5">
        <v>0</v>
      </c>
      <c r="BX138" s="5">
        <v>0</v>
      </c>
      <c r="BY138" s="5">
        <v>0</v>
      </c>
      <c r="BZ138" s="5">
        <v>0</v>
      </c>
      <c r="CA138" s="5">
        <v>0</v>
      </c>
      <c r="CB138" s="5">
        <v>0</v>
      </c>
      <c r="CC138" s="5">
        <v>0</v>
      </c>
      <c r="CD138" s="5">
        <v>0</v>
      </c>
      <c r="CE138" s="5">
        <v>0</v>
      </c>
      <c r="CF138" s="5">
        <v>0</v>
      </c>
      <c r="CG138" s="5">
        <v>0</v>
      </c>
      <c r="CH138" s="5">
        <v>0</v>
      </c>
      <c r="CI138" s="5">
        <v>0</v>
      </c>
      <c r="CJ138" s="5">
        <v>0</v>
      </c>
      <c r="CK138" s="5">
        <v>0</v>
      </c>
      <c r="CL138" s="5">
        <v>0.23444490519403</v>
      </c>
      <c r="CM138" s="5">
        <v>0</v>
      </c>
      <c r="CN138" s="5">
        <v>0.23</v>
      </c>
      <c r="CO138" s="5">
        <v>0</v>
      </c>
      <c r="CP138" s="5">
        <v>0</v>
      </c>
      <c r="CQ138" s="5">
        <v>0.23</v>
      </c>
      <c r="CR138" s="5">
        <v>0.23</v>
      </c>
      <c r="CS138" s="5">
        <v>0.23</v>
      </c>
      <c r="CT138" s="5">
        <v>0.23</v>
      </c>
      <c r="CU138" s="5">
        <v>468702</v>
      </c>
      <c r="CV138" s="5">
        <v>0.23</v>
      </c>
      <c r="CW138" s="5">
        <v>1</v>
      </c>
      <c r="CX138" s="5">
        <v>0.23</v>
      </c>
      <c r="CZ138" s="5">
        <v>76</v>
      </c>
      <c r="DA138" s="5">
        <v>91</v>
      </c>
      <c r="DB138" s="5">
        <v>101</v>
      </c>
      <c r="DC138" s="5">
        <v>86</v>
      </c>
      <c r="DD138" s="5" t="s">
        <v>887</v>
      </c>
      <c r="DE138" s="5" t="s">
        <v>0</v>
      </c>
      <c r="DF138" s="5">
        <f t="shared" si="4"/>
        <v>186.01000000000025</v>
      </c>
      <c r="DG138" s="5">
        <v>136</v>
      </c>
      <c r="DH138" s="5">
        <f t="shared" si="5"/>
        <v>186.01000000000016</v>
      </c>
    </row>
    <row r="139" spans="1:112" hidden="1" x14ac:dyDescent="0.35">
      <c r="A139">
        <v>1004600317</v>
      </c>
      <c r="D139" t="s">
        <v>100</v>
      </c>
      <c r="E139" t="s">
        <v>120</v>
      </c>
      <c r="F139" t="s">
        <v>104</v>
      </c>
      <c r="G139" t="s">
        <v>103</v>
      </c>
      <c r="H139" t="s">
        <v>525</v>
      </c>
      <c r="J139">
        <v>356499930</v>
      </c>
      <c r="AL139">
        <v>4600317</v>
      </c>
      <c r="AX139">
        <v>11</v>
      </c>
      <c r="AY139">
        <v>644313</v>
      </c>
      <c r="AZ139">
        <v>5467413</v>
      </c>
      <c r="BA139">
        <v>210.605981656289</v>
      </c>
      <c r="BB139" t="s">
        <v>1100</v>
      </c>
      <c r="BC139" t="s">
        <v>1100</v>
      </c>
      <c r="BD139" t="s">
        <v>94</v>
      </c>
      <c r="BE139" t="s">
        <v>1099</v>
      </c>
      <c r="BF139" t="s">
        <v>449</v>
      </c>
      <c r="BG139">
        <v>1</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0.21400000000004901</v>
      </c>
      <c r="CL139">
        <v>0.21400000000004901</v>
      </c>
      <c r="CM139">
        <v>0.21</v>
      </c>
      <c r="CN139">
        <v>0.21</v>
      </c>
      <c r="CO139">
        <v>0.21</v>
      </c>
      <c r="CP139">
        <v>0.21</v>
      </c>
      <c r="CQ139">
        <v>0.21</v>
      </c>
      <c r="CR139">
        <v>0.21</v>
      </c>
      <c r="CS139">
        <v>0.21</v>
      </c>
      <c r="CT139">
        <v>0.21</v>
      </c>
      <c r="CU139">
        <v>67582</v>
      </c>
      <c r="CV139">
        <v>0.21</v>
      </c>
      <c r="CW139">
        <v>1</v>
      </c>
      <c r="CX139">
        <v>0.21</v>
      </c>
      <c r="CZ139">
        <v>79</v>
      </c>
      <c r="DA139">
        <v>93</v>
      </c>
      <c r="DB139">
        <v>105</v>
      </c>
      <c r="DC139">
        <v>87</v>
      </c>
      <c r="DD139" t="s">
        <v>887</v>
      </c>
      <c r="DE139" t="s">
        <v>0</v>
      </c>
      <c r="DF139">
        <f t="shared" si="4"/>
        <v>186.22000000000025</v>
      </c>
      <c r="DG139">
        <v>137</v>
      </c>
      <c r="DH139">
        <f t="shared" si="5"/>
        <v>186.22000000000017</v>
      </c>
    </row>
    <row r="140" spans="1:112" hidden="1" x14ac:dyDescent="0.35">
      <c r="A140">
        <v>1004606705</v>
      </c>
      <c r="D140" t="s">
        <v>100</v>
      </c>
      <c r="E140" t="s">
        <v>180</v>
      </c>
      <c r="F140" t="s">
        <v>104</v>
      </c>
      <c r="G140" t="s">
        <v>103</v>
      </c>
      <c r="I140" t="s">
        <v>7</v>
      </c>
      <c r="J140">
        <v>356495329</v>
      </c>
      <c r="AL140">
        <v>4606705</v>
      </c>
      <c r="AX140">
        <v>11</v>
      </c>
      <c r="AY140">
        <v>653932</v>
      </c>
      <c r="AZ140">
        <v>5545157</v>
      </c>
      <c r="BA140">
        <v>104.910906232366</v>
      </c>
      <c r="BB140" t="s">
        <v>937</v>
      </c>
      <c r="BC140" t="s">
        <v>937</v>
      </c>
      <c r="BD140" t="s">
        <v>94</v>
      </c>
      <c r="BF140" t="s">
        <v>449</v>
      </c>
      <c r="BG140">
        <v>1</v>
      </c>
      <c r="BH140">
        <v>1004606710</v>
      </c>
      <c r="BI140">
        <v>1</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0.212744087343507</v>
      </c>
      <c r="CL140">
        <v>0.17899999999991401</v>
      </c>
      <c r="CM140">
        <v>0.18</v>
      </c>
      <c r="CN140">
        <v>0.18</v>
      </c>
      <c r="CO140">
        <v>0.21</v>
      </c>
      <c r="CP140">
        <v>0.18</v>
      </c>
      <c r="CQ140">
        <v>0.18</v>
      </c>
      <c r="CR140">
        <v>0.18</v>
      </c>
      <c r="CS140">
        <v>0.21</v>
      </c>
      <c r="CT140">
        <v>0.18</v>
      </c>
      <c r="CU140">
        <v>239802</v>
      </c>
      <c r="CV140">
        <v>0.18</v>
      </c>
      <c r="CW140">
        <v>1</v>
      </c>
      <c r="CX140">
        <v>0.18</v>
      </c>
      <c r="CZ140">
        <v>83</v>
      </c>
      <c r="DA140">
        <v>96</v>
      </c>
      <c r="DB140">
        <v>104</v>
      </c>
      <c r="DC140">
        <v>88</v>
      </c>
      <c r="DD140" t="s">
        <v>887</v>
      </c>
      <c r="DE140" t="s">
        <v>0</v>
      </c>
      <c r="DF140">
        <f t="shared" si="4"/>
        <v>186.40000000000026</v>
      </c>
      <c r="DG140">
        <v>138</v>
      </c>
      <c r="DH140">
        <f t="shared" si="5"/>
        <v>186.40000000000018</v>
      </c>
    </row>
    <row r="141" spans="1:112" hidden="1" x14ac:dyDescent="0.35">
      <c r="A141">
        <v>1004607409</v>
      </c>
      <c r="D141" t="s">
        <v>100</v>
      </c>
      <c r="E141" t="s">
        <v>99</v>
      </c>
      <c r="F141" t="s">
        <v>104</v>
      </c>
      <c r="G141" t="s">
        <v>103</v>
      </c>
      <c r="J141">
        <v>356502702</v>
      </c>
      <c r="AL141">
        <v>4607409</v>
      </c>
      <c r="AX141">
        <v>11</v>
      </c>
      <c r="AY141">
        <v>654987</v>
      </c>
      <c r="AZ141">
        <v>5552912</v>
      </c>
      <c r="BA141">
        <v>155.30928706393399</v>
      </c>
      <c r="BB141" t="s">
        <v>1098</v>
      </c>
      <c r="BC141" t="s">
        <v>1098</v>
      </c>
      <c r="BD141" t="s">
        <v>94</v>
      </c>
      <c r="BF141" t="s">
        <v>449</v>
      </c>
      <c r="BG141">
        <v>1</v>
      </c>
      <c r="BH141">
        <v>1004607028</v>
      </c>
      <c r="BI141">
        <v>1</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0.23500000000003099</v>
      </c>
      <c r="CL141">
        <v>0</v>
      </c>
      <c r="CM141">
        <v>0.2</v>
      </c>
      <c r="CN141">
        <v>0</v>
      </c>
      <c r="CO141">
        <v>0.24</v>
      </c>
      <c r="CP141">
        <v>0.21</v>
      </c>
      <c r="CQ141">
        <v>0</v>
      </c>
      <c r="CR141">
        <v>0</v>
      </c>
      <c r="CS141">
        <v>0.24</v>
      </c>
      <c r="CT141">
        <v>0.21</v>
      </c>
      <c r="CU141">
        <v>281222</v>
      </c>
      <c r="CV141">
        <v>0.24</v>
      </c>
      <c r="CW141">
        <v>2</v>
      </c>
      <c r="CX141">
        <v>0.12</v>
      </c>
      <c r="CZ141">
        <v>91</v>
      </c>
      <c r="DA141">
        <v>107</v>
      </c>
      <c r="DB141">
        <v>100</v>
      </c>
      <c r="DC141">
        <v>89</v>
      </c>
      <c r="DD141" t="s">
        <v>887</v>
      </c>
      <c r="DE141" t="s">
        <v>0</v>
      </c>
      <c r="DF141">
        <f t="shared" si="4"/>
        <v>186.52000000000027</v>
      </c>
      <c r="DG141">
        <v>139</v>
      </c>
      <c r="DH141">
        <f t="shared" si="5"/>
        <v>186.61000000000018</v>
      </c>
    </row>
    <row r="142" spans="1:112" hidden="1" x14ac:dyDescent="0.35">
      <c r="A142">
        <v>1004607028</v>
      </c>
      <c r="D142" t="s">
        <v>100</v>
      </c>
      <c r="E142" t="s">
        <v>99</v>
      </c>
      <c r="F142" t="s">
        <v>104</v>
      </c>
      <c r="G142" t="s">
        <v>103</v>
      </c>
      <c r="J142">
        <v>356502702</v>
      </c>
      <c r="AL142">
        <v>4607028</v>
      </c>
      <c r="AX142">
        <v>11</v>
      </c>
      <c r="AY142">
        <v>654794</v>
      </c>
      <c r="AZ142">
        <v>5552946</v>
      </c>
      <c r="BA142">
        <v>357.92547783935203</v>
      </c>
      <c r="BB142" t="s">
        <v>1098</v>
      </c>
      <c r="BC142" t="s">
        <v>1098</v>
      </c>
      <c r="BD142" t="s">
        <v>94</v>
      </c>
      <c r="BF142" t="s">
        <v>1097</v>
      </c>
      <c r="BG142">
        <v>2</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3.2000000000059599E-2</v>
      </c>
      <c r="CL142">
        <v>0</v>
      </c>
      <c r="CM142">
        <v>3.2000000000059599E-2</v>
      </c>
      <c r="CN142">
        <v>0</v>
      </c>
      <c r="CO142">
        <v>0.03</v>
      </c>
      <c r="CP142">
        <v>0.03</v>
      </c>
      <c r="CQ142">
        <v>0</v>
      </c>
      <c r="CR142">
        <v>0</v>
      </c>
      <c r="CS142">
        <v>0.03</v>
      </c>
      <c r="CT142">
        <v>0.03</v>
      </c>
      <c r="CU142">
        <v>281222</v>
      </c>
      <c r="CV142">
        <v>0.24</v>
      </c>
      <c r="CW142">
        <v>2</v>
      </c>
      <c r="CX142">
        <v>0.12</v>
      </c>
      <c r="CZ142">
        <v>91</v>
      </c>
      <c r="DA142">
        <v>107</v>
      </c>
      <c r="DB142">
        <v>100</v>
      </c>
      <c r="DC142">
        <v>89</v>
      </c>
      <c r="DD142" t="s">
        <v>887</v>
      </c>
      <c r="DE142" t="s">
        <v>0</v>
      </c>
      <c r="DF142">
        <f t="shared" si="4"/>
        <v>186.64000000000027</v>
      </c>
      <c r="DG142">
        <v>140</v>
      </c>
      <c r="DH142">
        <f t="shared" si="5"/>
        <v>186.64000000000019</v>
      </c>
    </row>
    <row r="143" spans="1:112" hidden="1" x14ac:dyDescent="0.35">
      <c r="A143">
        <v>1024734106</v>
      </c>
      <c r="D143" t="s">
        <v>100</v>
      </c>
      <c r="E143" t="s">
        <v>99</v>
      </c>
      <c r="F143" t="s">
        <v>104</v>
      </c>
      <c r="G143" t="s">
        <v>103</v>
      </c>
      <c r="J143">
        <v>356505510</v>
      </c>
      <c r="AL143">
        <v>24734106</v>
      </c>
      <c r="AX143">
        <v>11</v>
      </c>
      <c r="AY143">
        <v>642120</v>
      </c>
      <c r="AZ143">
        <v>5476448</v>
      </c>
      <c r="BA143">
        <v>200.83602855427901</v>
      </c>
      <c r="BB143" t="s">
        <v>1096</v>
      </c>
      <c r="BC143" t="s">
        <v>1096</v>
      </c>
      <c r="BD143" t="s">
        <v>94</v>
      </c>
      <c r="BF143" t="s">
        <v>449</v>
      </c>
      <c r="BG143">
        <v>1</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0.16500000000001599</v>
      </c>
      <c r="CM143">
        <v>0</v>
      </c>
      <c r="CN143">
        <v>0.17</v>
      </c>
      <c r="CO143">
        <v>0</v>
      </c>
      <c r="CP143">
        <v>0</v>
      </c>
      <c r="CQ143">
        <v>0.17</v>
      </c>
      <c r="CR143">
        <v>0.17</v>
      </c>
      <c r="CS143">
        <v>0.17</v>
      </c>
      <c r="CT143">
        <v>0.17</v>
      </c>
      <c r="CU143">
        <v>298662</v>
      </c>
      <c r="CV143">
        <v>0.17</v>
      </c>
      <c r="CW143">
        <v>1</v>
      </c>
      <c r="CX143">
        <v>0.17</v>
      </c>
      <c r="CZ143">
        <v>84</v>
      </c>
      <c r="DA143">
        <v>98</v>
      </c>
      <c r="DB143">
        <v>110</v>
      </c>
      <c r="DC143">
        <v>90</v>
      </c>
      <c r="DD143" t="s">
        <v>887</v>
      </c>
      <c r="DE143" t="s">
        <v>0</v>
      </c>
      <c r="DF143">
        <f t="shared" si="4"/>
        <v>186.81000000000026</v>
      </c>
      <c r="DG143">
        <v>141</v>
      </c>
      <c r="DH143">
        <f t="shared" si="5"/>
        <v>186.81000000000017</v>
      </c>
    </row>
    <row r="144" spans="1:112" hidden="1" x14ac:dyDescent="0.35">
      <c r="A144">
        <v>1024754900</v>
      </c>
      <c r="D144" t="s">
        <v>100</v>
      </c>
      <c r="E144" t="s">
        <v>99</v>
      </c>
      <c r="F144" t="s">
        <v>104</v>
      </c>
      <c r="G144" t="s">
        <v>103</v>
      </c>
      <c r="J144">
        <v>356430275</v>
      </c>
      <c r="AL144">
        <v>24754900</v>
      </c>
      <c r="AX144">
        <v>11</v>
      </c>
      <c r="AY144">
        <v>644383</v>
      </c>
      <c r="AZ144">
        <v>5561062</v>
      </c>
      <c r="BA144">
        <v>593.66091998477395</v>
      </c>
      <c r="BB144" t="s">
        <v>434</v>
      </c>
      <c r="BC144" t="s">
        <v>434</v>
      </c>
      <c r="BD144" t="s">
        <v>94</v>
      </c>
      <c r="BF144" t="s">
        <v>449</v>
      </c>
      <c r="BG144">
        <v>1</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0.15852827423103999</v>
      </c>
      <c r="CM144">
        <v>0</v>
      </c>
      <c r="CN144">
        <v>0.16</v>
      </c>
      <c r="CO144">
        <v>0</v>
      </c>
      <c r="CP144">
        <v>0</v>
      </c>
      <c r="CQ144">
        <v>0.16</v>
      </c>
      <c r="CR144">
        <v>0.16</v>
      </c>
      <c r="CS144">
        <v>0.16</v>
      </c>
      <c r="CT144">
        <v>0.16</v>
      </c>
      <c r="CU144">
        <v>357522</v>
      </c>
      <c r="CV144">
        <v>0.16</v>
      </c>
      <c r="CW144">
        <v>1</v>
      </c>
      <c r="CX144">
        <v>0.16</v>
      </c>
      <c r="CZ144">
        <v>85</v>
      </c>
      <c r="DA144">
        <v>99</v>
      </c>
      <c r="DB144">
        <v>112</v>
      </c>
      <c r="DC144">
        <v>91</v>
      </c>
      <c r="DD144" t="s">
        <v>887</v>
      </c>
      <c r="DE144" t="s">
        <v>0</v>
      </c>
      <c r="DF144">
        <f t="shared" si="4"/>
        <v>186.97000000000025</v>
      </c>
      <c r="DG144">
        <v>142</v>
      </c>
      <c r="DH144">
        <f t="shared" si="5"/>
        <v>186.97000000000017</v>
      </c>
    </row>
    <row r="145" spans="1:112" hidden="1" x14ac:dyDescent="0.35">
      <c r="A145">
        <v>1004600588</v>
      </c>
      <c r="D145" t="s">
        <v>100</v>
      </c>
      <c r="E145" t="s">
        <v>99</v>
      </c>
      <c r="F145" t="s">
        <v>104</v>
      </c>
      <c r="G145" t="s">
        <v>103</v>
      </c>
      <c r="J145">
        <v>356569619</v>
      </c>
      <c r="AL145">
        <v>4600588</v>
      </c>
      <c r="AX145">
        <v>11</v>
      </c>
      <c r="AY145">
        <v>664258</v>
      </c>
      <c r="AZ145">
        <v>5481252</v>
      </c>
      <c r="BA145">
        <v>21623.8903732941</v>
      </c>
      <c r="BB145" t="s">
        <v>495</v>
      </c>
      <c r="BC145" t="s">
        <v>1095</v>
      </c>
      <c r="BD145" t="s">
        <v>94</v>
      </c>
      <c r="BF145" t="s">
        <v>1094</v>
      </c>
      <c r="BG145">
        <v>2</v>
      </c>
      <c r="BH145">
        <v>1004600594</v>
      </c>
      <c r="BI145">
        <v>1</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0.63318869514702003</v>
      </c>
      <c r="CM145">
        <v>0</v>
      </c>
      <c r="CN145">
        <v>0.32</v>
      </c>
      <c r="CO145">
        <v>0</v>
      </c>
      <c r="CP145">
        <v>0</v>
      </c>
      <c r="CQ145">
        <v>0.63</v>
      </c>
      <c r="CR145">
        <v>0.31</v>
      </c>
      <c r="CS145">
        <v>0.63</v>
      </c>
      <c r="CT145">
        <v>0.31</v>
      </c>
      <c r="CU145">
        <v>93743</v>
      </c>
      <c r="CV145">
        <v>0.63</v>
      </c>
      <c r="CW145">
        <v>2</v>
      </c>
      <c r="CX145">
        <v>0.315</v>
      </c>
      <c r="CY145" t="s">
        <v>1091</v>
      </c>
      <c r="CZ145">
        <v>73</v>
      </c>
      <c r="DA145">
        <v>139</v>
      </c>
      <c r="DB145">
        <v>73</v>
      </c>
      <c r="DC145">
        <v>92</v>
      </c>
      <c r="DD145" t="s">
        <v>887</v>
      </c>
      <c r="DE145" t="s">
        <v>0</v>
      </c>
      <c r="DF145">
        <f t="shared" si="4"/>
        <v>187.28500000000025</v>
      </c>
      <c r="DG145">
        <v>143</v>
      </c>
      <c r="DH145">
        <f t="shared" si="5"/>
        <v>187.28000000000017</v>
      </c>
    </row>
    <row r="146" spans="1:112" hidden="1" x14ac:dyDescent="0.35">
      <c r="A146">
        <v>1004600594</v>
      </c>
      <c r="D146" t="s">
        <v>100</v>
      </c>
      <c r="E146" t="s">
        <v>99</v>
      </c>
      <c r="F146" t="s">
        <v>104</v>
      </c>
      <c r="G146" t="s">
        <v>103</v>
      </c>
      <c r="J146">
        <v>356569619</v>
      </c>
      <c r="AL146">
        <v>4600594</v>
      </c>
      <c r="AX146">
        <v>11</v>
      </c>
      <c r="AY146">
        <v>664334</v>
      </c>
      <c r="AZ146">
        <v>5480958</v>
      </c>
      <c r="BA146">
        <v>21941.383636028699</v>
      </c>
      <c r="BB146" t="s">
        <v>495</v>
      </c>
      <c r="BC146" t="s">
        <v>1093</v>
      </c>
      <c r="BD146" t="s">
        <v>94</v>
      </c>
      <c r="BF146" t="s">
        <v>1092</v>
      </c>
      <c r="BG146">
        <v>3</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0.31618921490479202</v>
      </c>
      <c r="CM146">
        <v>0</v>
      </c>
      <c r="CN146">
        <v>0.32</v>
      </c>
      <c r="CO146">
        <v>0</v>
      </c>
      <c r="CP146">
        <v>0</v>
      </c>
      <c r="CQ146">
        <v>0.32</v>
      </c>
      <c r="CR146">
        <v>0.32</v>
      </c>
      <c r="CS146">
        <v>0.32</v>
      </c>
      <c r="CT146">
        <v>0.32</v>
      </c>
      <c r="CU146">
        <v>93743</v>
      </c>
      <c r="CV146">
        <v>0.63</v>
      </c>
      <c r="CW146">
        <v>2</v>
      </c>
      <c r="CX146">
        <v>0.315</v>
      </c>
      <c r="CY146" t="s">
        <v>1091</v>
      </c>
      <c r="CZ146">
        <v>73</v>
      </c>
      <c r="DA146">
        <v>139</v>
      </c>
      <c r="DB146">
        <v>73</v>
      </c>
      <c r="DC146">
        <v>92</v>
      </c>
      <c r="DD146" t="s">
        <v>887</v>
      </c>
      <c r="DE146" t="s">
        <v>0</v>
      </c>
      <c r="DF146">
        <f t="shared" si="4"/>
        <v>187.60000000000025</v>
      </c>
      <c r="DG146">
        <v>144</v>
      </c>
      <c r="DH146">
        <f t="shared" si="5"/>
        <v>187.60000000000016</v>
      </c>
    </row>
    <row r="147" spans="1:112" hidden="1" x14ac:dyDescent="0.35">
      <c r="A147">
        <v>1004600342</v>
      </c>
      <c r="D147" t="s">
        <v>100</v>
      </c>
      <c r="E147" t="s">
        <v>120</v>
      </c>
      <c r="F147" t="s">
        <v>104</v>
      </c>
      <c r="G147" t="s">
        <v>103</v>
      </c>
      <c r="H147" t="s">
        <v>525</v>
      </c>
      <c r="J147">
        <v>356539871</v>
      </c>
      <c r="AL147">
        <v>4600342</v>
      </c>
      <c r="AX147">
        <v>11</v>
      </c>
      <c r="AY147">
        <v>640640</v>
      </c>
      <c r="AZ147">
        <v>5478562</v>
      </c>
      <c r="BA147">
        <v>152.36499148617801</v>
      </c>
      <c r="BB147" t="s">
        <v>1090</v>
      </c>
      <c r="BC147" t="s">
        <v>1090</v>
      </c>
      <c r="BD147" t="s">
        <v>94</v>
      </c>
      <c r="BF147" t="s">
        <v>449</v>
      </c>
      <c r="BG147">
        <v>1</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0.14799999999997401</v>
      </c>
      <c r="CM147">
        <v>0</v>
      </c>
      <c r="CN147">
        <v>0.15</v>
      </c>
      <c r="CO147">
        <v>0</v>
      </c>
      <c r="CP147">
        <v>0</v>
      </c>
      <c r="CQ147">
        <v>0.15</v>
      </c>
      <c r="CR147">
        <v>0.15</v>
      </c>
      <c r="CS147">
        <v>0.15</v>
      </c>
      <c r="CT147">
        <v>0.15</v>
      </c>
      <c r="CU147">
        <v>80662</v>
      </c>
      <c r="CV147">
        <v>0.15</v>
      </c>
      <c r="CW147">
        <v>1</v>
      </c>
      <c r="CX147">
        <v>0.15</v>
      </c>
      <c r="CZ147">
        <v>86</v>
      </c>
      <c r="DA147">
        <v>100</v>
      </c>
      <c r="DB147">
        <v>114</v>
      </c>
      <c r="DC147">
        <v>93</v>
      </c>
      <c r="DD147" t="s">
        <v>887</v>
      </c>
      <c r="DE147" t="s">
        <v>0</v>
      </c>
      <c r="DF147">
        <f t="shared" si="4"/>
        <v>187.75000000000026</v>
      </c>
      <c r="DG147">
        <v>145</v>
      </c>
      <c r="DH147">
        <f t="shared" si="5"/>
        <v>187.75000000000017</v>
      </c>
    </row>
    <row r="148" spans="1:112" hidden="1" x14ac:dyDescent="0.35">
      <c r="A148">
        <v>1004606677</v>
      </c>
      <c r="D148" t="s">
        <v>100</v>
      </c>
      <c r="E148" t="s">
        <v>180</v>
      </c>
      <c r="F148" t="s">
        <v>104</v>
      </c>
      <c r="G148" t="s">
        <v>103</v>
      </c>
      <c r="I148" t="s">
        <v>7</v>
      </c>
      <c r="J148">
        <v>356561989</v>
      </c>
      <c r="AL148">
        <v>4606677</v>
      </c>
      <c r="AX148">
        <v>11</v>
      </c>
      <c r="AY148">
        <v>665875</v>
      </c>
      <c r="AZ148">
        <v>5502135</v>
      </c>
      <c r="BA148">
        <v>2586.85860088869</v>
      </c>
      <c r="BB148" t="s">
        <v>451</v>
      </c>
      <c r="BC148" t="s">
        <v>1089</v>
      </c>
      <c r="BD148" t="s">
        <v>94</v>
      </c>
      <c r="BF148" t="s">
        <v>1088</v>
      </c>
      <c r="BG148">
        <v>6</v>
      </c>
      <c r="BH148" t="s">
        <v>1087</v>
      </c>
      <c r="BI148">
        <v>8</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0.41611864064709703</v>
      </c>
      <c r="CL148">
        <v>5.0122273152155303</v>
      </c>
      <c r="CM148">
        <v>7.0000000000000007E-2</v>
      </c>
      <c r="CN148">
        <v>7.0000000000000007E-2</v>
      </c>
      <c r="CO148">
        <v>0.42</v>
      </c>
      <c r="CP148">
        <v>7.0000000000000007E-2</v>
      </c>
      <c r="CQ148">
        <v>5.01</v>
      </c>
      <c r="CR148">
        <v>7.0000000000000007E-2</v>
      </c>
      <c r="CS148">
        <v>5.01</v>
      </c>
      <c r="CT148">
        <v>7.0000000000000007E-2</v>
      </c>
      <c r="CU148">
        <v>233263</v>
      </c>
      <c r="CV148">
        <v>2.13</v>
      </c>
      <c r="CW148">
        <v>6</v>
      </c>
      <c r="CX148">
        <v>0.35499999999999998</v>
      </c>
      <c r="CY148" t="s">
        <v>898</v>
      </c>
      <c r="CZ148">
        <v>68</v>
      </c>
      <c r="DA148">
        <v>202</v>
      </c>
      <c r="DB148">
        <v>12</v>
      </c>
      <c r="DC148">
        <v>94</v>
      </c>
      <c r="DD148" t="s">
        <v>887</v>
      </c>
      <c r="DE148" t="s">
        <v>0</v>
      </c>
      <c r="DF148">
        <f t="shared" si="4"/>
        <v>188.10500000000025</v>
      </c>
      <c r="DG148">
        <v>146</v>
      </c>
      <c r="DH148">
        <f t="shared" si="5"/>
        <v>187.82000000000016</v>
      </c>
    </row>
    <row r="149" spans="1:112" hidden="1" x14ac:dyDescent="0.35">
      <c r="A149">
        <v>1004606675</v>
      </c>
      <c r="D149" t="s">
        <v>100</v>
      </c>
      <c r="E149" t="s">
        <v>180</v>
      </c>
      <c r="F149" t="s">
        <v>104</v>
      </c>
      <c r="G149" t="s">
        <v>103</v>
      </c>
      <c r="I149" t="s">
        <v>7</v>
      </c>
      <c r="J149">
        <v>356561989</v>
      </c>
      <c r="AL149">
        <v>4606675</v>
      </c>
      <c r="AX149">
        <v>11</v>
      </c>
      <c r="AY149">
        <v>665916</v>
      </c>
      <c r="AZ149">
        <v>5502096</v>
      </c>
      <c r="BA149">
        <v>2656.3840450183202</v>
      </c>
      <c r="BB149" t="s">
        <v>451</v>
      </c>
      <c r="BC149" t="s">
        <v>1081</v>
      </c>
      <c r="BD149" t="s">
        <v>94</v>
      </c>
      <c r="BF149" t="s">
        <v>1086</v>
      </c>
      <c r="BG149">
        <v>7</v>
      </c>
      <c r="BH149" t="s">
        <v>1085</v>
      </c>
      <c r="BI149">
        <v>7</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0.34711919702764998</v>
      </c>
      <c r="CL149">
        <v>4.9432278715960898</v>
      </c>
      <c r="CM149">
        <v>0.14000000000000001</v>
      </c>
      <c r="CN149">
        <v>0.14000000000000001</v>
      </c>
      <c r="CO149">
        <v>0.35</v>
      </c>
      <c r="CP149">
        <v>0.15</v>
      </c>
      <c r="CQ149">
        <v>4.9400000000000004</v>
      </c>
      <c r="CR149">
        <v>0.14000000000000001</v>
      </c>
      <c r="CS149">
        <v>4.9400000000000004</v>
      </c>
      <c r="CT149">
        <v>0.14000000000000001</v>
      </c>
      <c r="CU149">
        <v>233263</v>
      </c>
      <c r="CV149">
        <v>2.13</v>
      </c>
      <c r="CW149">
        <v>6</v>
      </c>
      <c r="CX149">
        <v>0.35499999999999998</v>
      </c>
      <c r="CY149" t="s">
        <v>898</v>
      </c>
      <c r="CZ149">
        <v>68</v>
      </c>
      <c r="DA149">
        <v>202</v>
      </c>
      <c r="DB149">
        <v>12</v>
      </c>
      <c r="DC149">
        <v>94</v>
      </c>
      <c r="DD149" t="s">
        <v>887</v>
      </c>
      <c r="DE149" t="s">
        <v>0</v>
      </c>
      <c r="DF149">
        <f t="shared" si="4"/>
        <v>188.46000000000024</v>
      </c>
      <c r="DG149">
        <v>147</v>
      </c>
      <c r="DH149">
        <f t="shared" si="5"/>
        <v>187.96000000000015</v>
      </c>
    </row>
    <row r="150" spans="1:112" hidden="1" x14ac:dyDescent="0.35">
      <c r="A150">
        <v>1004600131</v>
      </c>
      <c r="D150" t="s">
        <v>100</v>
      </c>
      <c r="E150" t="s">
        <v>120</v>
      </c>
      <c r="F150" t="s">
        <v>104</v>
      </c>
      <c r="G150" t="s">
        <v>103</v>
      </c>
      <c r="H150" t="s">
        <v>525</v>
      </c>
      <c r="J150">
        <v>356561989</v>
      </c>
      <c r="AL150">
        <v>4600131</v>
      </c>
      <c r="AX150">
        <v>11</v>
      </c>
      <c r="AY150">
        <v>666040</v>
      </c>
      <c r="AZ150">
        <v>5502164</v>
      </c>
      <c r="BA150">
        <v>2799.67377293453</v>
      </c>
      <c r="BB150" t="s">
        <v>451</v>
      </c>
      <c r="BC150" t="s">
        <v>1081</v>
      </c>
      <c r="BD150" t="s">
        <v>94</v>
      </c>
      <c r="BF150" t="s">
        <v>1084</v>
      </c>
      <c r="BG150">
        <v>8</v>
      </c>
      <c r="BH150" t="s">
        <v>1083</v>
      </c>
      <c r="BI150">
        <v>6</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0.20311919702780401</v>
      </c>
      <c r="CL150">
        <v>4.7992278715962398</v>
      </c>
      <c r="CM150">
        <v>0.08</v>
      </c>
      <c r="CN150">
        <v>0.08</v>
      </c>
      <c r="CO150">
        <v>0.2</v>
      </c>
      <c r="CP150">
        <v>7.0000000000000007E-2</v>
      </c>
      <c r="CQ150">
        <v>4.8</v>
      </c>
      <c r="CR150">
        <v>0.08</v>
      </c>
      <c r="CS150">
        <v>4.8</v>
      </c>
      <c r="CT150">
        <v>0.08</v>
      </c>
      <c r="CU150">
        <v>233263</v>
      </c>
      <c r="CV150">
        <v>2.13</v>
      </c>
      <c r="CW150">
        <v>6</v>
      </c>
      <c r="CX150">
        <v>0.35499999999999998</v>
      </c>
      <c r="CY150" t="s">
        <v>898</v>
      </c>
      <c r="CZ150">
        <v>68</v>
      </c>
      <c r="DA150">
        <v>202</v>
      </c>
      <c r="DB150">
        <v>12</v>
      </c>
      <c r="DC150">
        <v>94</v>
      </c>
      <c r="DD150" t="s">
        <v>887</v>
      </c>
      <c r="DE150" t="s">
        <v>0</v>
      </c>
      <c r="DF150">
        <f t="shared" si="4"/>
        <v>188.81500000000023</v>
      </c>
      <c r="DG150">
        <v>148</v>
      </c>
      <c r="DH150">
        <f t="shared" si="5"/>
        <v>188.04000000000016</v>
      </c>
    </row>
    <row r="151" spans="1:112" hidden="1" x14ac:dyDescent="0.35">
      <c r="A151">
        <v>1004600739</v>
      </c>
      <c r="D151" t="s">
        <v>100</v>
      </c>
      <c r="E151" t="s">
        <v>120</v>
      </c>
      <c r="F151" t="s">
        <v>104</v>
      </c>
      <c r="G151" t="s">
        <v>103</v>
      </c>
      <c r="H151" t="s">
        <v>1082</v>
      </c>
      <c r="J151">
        <v>356561989</v>
      </c>
      <c r="AL151">
        <v>4600739</v>
      </c>
      <c r="AX151">
        <v>11</v>
      </c>
      <c r="AY151">
        <v>666110</v>
      </c>
      <c r="AZ151">
        <v>5502187</v>
      </c>
      <c r="BA151">
        <v>2874.5959055879698</v>
      </c>
      <c r="BB151" t="s">
        <v>451</v>
      </c>
      <c r="BC151" t="s">
        <v>1081</v>
      </c>
      <c r="BD151" t="s">
        <v>94</v>
      </c>
      <c r="BF151" t="s">
        <v>1080</v>
      </c>
      <c r="BG151">
        <v>9</v>
      </c>
      <c r="BH151" t="s">
        <v>1079</v>
      </c>
      <c r="BI151">
        <v>5</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0.128119197027768</v>
      </c>
      <c r="CL151">
        <v>4.7242278715962103</v>
      </c>
      <c r="CM151">
        <v>0.13</v>
      </c>
      <c r="CN151">
        <v>0.31</v>
      </c>
      <c r="CO151">
        <v>0.13</v>
      </c>
      <c r="CP151">
        <v>0.13</v>
      </c>
      <c r="CQ151">
        <v>4.72</v>
      </c>
      <c r="CR151">
        <v>0.3</v>
      </c>
      <c r="CS151">
        <v>4.72</v>
      </c>
      <c r="CT151">
        <v>0.3</v>
      </c>
      <c r="CU151">
        <v>233263</v>
      </c>
      <c r="CV151">
        <v>2.13</v>
      </c>
      <c r="CW151">
        <v>6</v>
      </c>
      <c r="CX151">
        <v>0.35499999999999998</v>
      </c>
      <c r="CY151" t="s">
        <v>898</v>
      </c>
      <c r="CZ151">
        <v>68</v>
      </c>
      <c r="DA151">
        <v>202</v>
      </c>
      <c r="DB151">
        <v>12</v>
      </c>
      <c r="DC151">
        <v>94</v>
      </c>
      <c r="DD151" t="s">
        <v>887</v>
      </c>
      <c r="DE151" t="s">
        <v>0</v>
      </c>
      <c r="DF151">
        <f t="shared" si="4"/>
        <v>189.17000000000021</v>
      </c>
      <c r="DG151">
        <v>149</v>
      </c>
      <c r="DH151">
        <f t="shared" si="5"/>
        <v>188.34000000000017</v>
      </c>
    </row>
    <row r="152" spans="1:112" hidden="1" x14ac:dyDescent="0.35">
      <c r="A152">
        <v>1004600715</v>
      </c>
      <c r="D152" t="s">
        <v>100</v>
      </c>
      <c r="E152" t="s">
        <v>99</v>
      </c>
      <c r="F152" t="s">
        <v>104</v>
      </c>
      <c r="G152" t="s">
        <v>103</v>
      </c>
      <c r="J152">
        <v>356561989</v>
      </c>
      <c r="AL152">
        <v>4600715</v>
      </c>
      <c r="AX152">
        <v>11</v>
      </c>
      <c r="AY152">
        <v>666234</v>
      </c>
      <c r="AZ152">
        <v>5502364</v>
      </c>
      <c r="BA152">
        <v>3097.44273827093</v>
      </c>
      <c r="BB152" t="s">
        <v>451</v>
      </c>
      <c r="BC152" t="s">
        <v>1077</v>
      </c>
      <c r="BD152" t="s">
        <v>94</v>
      </c>
      <c r="BF152" t="s">
        <v>1078</v>
      </c>
      <c r="BG152">
        <v>10</v>
      </c>
      <c r="BH152">
        <v>1024734509</v>
      </c>
      <c r="BI152">
        <v>1</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1.5365611621761901</v>
      </c>
      <c r="CM152">
        <v>0</v>
      </c>
      <c r="CN152">
        <v>0.7</v>
      </c>
      <c r="CO152">
        <v>0</v>
      </c>
      <c r="CP152">
        <v>0</v>
      </c>
      <c r="CQ152">
        <v>1.54</v>
      </c>
      <c r="CR152">
        <v>0.7</v>
      </c>
      <c r="CS152">
        <v>1.54</v>
      </c>
      <c r="CT152">
        <v>0.7</v>
      </c>
      <c r="CU152">
        <v>233263</v>
      </c>
      <c r="CV152">
        <v>2.13</v>
      </c>
      <c r="CW152">
        <v>6</v>
      </c>
      <c r="CX152">
        <v>0.35499999999999998</v>
      </c>
      <c r="CY152" t="s">
        <v>898</v>
      </c>
      <c r="CZ152">
        <v>68</v>
      </c>
      <c r="DA152">
        <v>202</v>
      </c>
      <c r="DB152">
        <v>12</v>
      </c>
      <c r="DC152">
        <v>94</v>
      </c>
      <c r="DD152" t="s">
        <v>887</v>
      </c>
      <c r="DE152" t="s">
        <v>0</v>
      </c>
      <c r="DF152">
        <f t="shared" si="4"/>
        <v>189.5250000000002</v>
      </c>
      <c r="DG152">
        <v>150</v>
      </c>
      <c r="DH152">
        <f t="shared" si="5"/>
        <v>189.04000000000016</v>
      </c>
    </row>
    <row r="153" spans="1:112" hidden="1" x14ac:dyDescent="0.35">
      <c r="A153">
        <v>1024734509</v>
      </c>
      <c r="D153" t="s">
        <v>100</v>
      </c>
      <c r="E153" t="s">
        <v>99</v>
      </c>
      <c r="F153" t="s">
        <v>104</v>
      </c>
      <c r="G153" t="s">
        <v>103</v>
      </c>
      <c r="J153">
        <v>356561989</v>
      </c>
      <c r="AL153">
        <v>24734509</v>
      </c>
      <c r="AX153">
        <v>11</v>
      </c>
      <c r="AY153">
        <v>666282</v>
      </c>
      <c r="AZ153">
        <v>5503034</v>
      </c>
      <c r="BA153">
        <v>3797.7200271124698</v>
      </c>
      <c r="BB153" t="s">
        <v>451</v>
      </c>
      <c r="BC153" t="s">
        <v>1077</v>
      </c>
      <c r="BD153" t="s">
        <v>94</v>
      </c>
      <c r="BF153" t="s">
        <v>1076</v>
      </c>
      <c r="BG153">
        <v>11</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0.83556116217614596</v>
      </c>
      <c r="CM153">
        <v>0</v>
      </c>
      <c r="CN153">
        <v>0.84</v>
      </c>
      <c r="CO153">
        <v>0</v>
      </c>
      <c r="CP153">
        <v>0</v>
      </c>
      <c r="CQ153">
        <v>0.84</v>
      </c>
      <c r="CR153">
        <v>0.84</v>
      </c>
      <c r="CS153">
        <v>0.84</v>
      </c>
      <c r="CT153">
        <v>0.84</v>
      </c>
      <c r="CU153">
        <v>233263</v>
      </c>
      <c r="CV153">
        <v>2.13</v>
      </c>
      <c r="CW153">
        <v>6</v>
      </c>
      <c r="CX153">
        <v>0.35499999999999998</v>
      </c>
      <c r="CY153" t="s">
        <v>898</v>
      </c>
      <c r="CZ153">
        <v>68</v>
      </c>
      <c r="DA153">
        <v>202</v>
      </c>
      <c r="DB153">
        <v>12</v>
      </c>
      <c r="DC153">
        <v>94</v>
      </c>
      <c r="DD153" t="s">
        <v>887</v>
      </c>
      <c r="DE153" t="s">
        <v>0</v>
      </c>
      <c r="DF153">
        <f t="shared" si="4"/>
        <v>189.88000000000019</v>
      </c>
      <c r="DG153">
        <v>151</v>
      </c>
      <c r="DH153">
        <f t="shared" si="5"/>
        <v>189.88000000000017</v>
      </c>
    </row>
    <row r="154" spans="1:112" hidden="1" x14ac:dyDescent="0.35">
      <c r="A154">
        <v>1004606802</v>
      </c>
      <c r="D154" t="s">
        <v>100</v>
      </c>
      <c r="E154" t="s">
        <v>180</v>
      </c>
      <c r="F154" t="s">
        <v>104</v>
      </c>
      <c r="G154" t="s">
        <v>103</v>
      </c>
      <c r="I154" t="s">
        <v>7</v>
      </c>
      <c r="J154">
        <v>356504995</v>
      </c>
      <c r="AL154">
        <v>4606802</v>
      </c>
      <c r="AX154">
        <v>11</v>
      </c>
      <c r="AY154">
        <v>643937</v>
      </c>
      <c r="AZ154">
        <v>5473050</v>
      </c>
      <c r="BA154">
        <v>110.443651819325</v>
      </c>
      <c r="BB154" t="s">
        <v>1075</v>
      </c>
      <c r="BC154" t="s">
        <v>1075</v>
      </c>
      <c r="BD154" t="s">
        <v>94</v>
      </c>
      <c r="BF154" t="s">
        <v>449</v>
      </c>
      <c r="BG154">
        <v>1</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0.15200000000011199</v>
      </c>
      <c r="CM154">
        <v>0</v>
      </c>
      <c r="CN154">
        <v>0.15</v>
      </c>
      <c r="CO154">
        <v>0</v>
      </c>
      <c r="CP154">
        <v>0</v>
      </c>
      <c r="CQ154">
        <v>0.15</v>
      </c>
      <c r="CR154">
        <v>0.15</v>
      </c>
      <c r="CS154">
        <v>0.15</v>
      </c>
      <c r="CT154">
        <v>0.15</v>
      </c>
      <c r="CU154">
        <v>261602</v>
      </c>
      <c r="CV154">
        <v>0.15</v>
      </c>
      <c r="CW154">
        <v>1</v>
      </c>
      <c r="CX154">
        <v>0.15</v>
      </c>
      <c r="CZ154">
        <v>86</v>
      </c>
      <c r="DA154">
        <v>101</v>
      </c>
      <c r="DB154">
        <v>113</v>
      </c>
      <c r="DC154">
        <v>95</v>
      </c>
      <c r="DD154" t="s">
        <v>887</v>
      </c>
      <c r="DE154" t="s">
        <v>0</v>
      </c>
      <c r="DF154">
        <f t="shared" si="4"/>
        <v>190.0300000000002</v>
      </c>
      <c r="DG154">
        <v>152</v>
      </c>
      <c r="DH154">
        <f t="shared" si="5"/>
        <v>190.03000000000017</v>
      </c>
    </row>
    <row r="155" spans="1:112" hidden="1" x14ac:dyDescent="0.35">
      <c r="A155">
        <v>1004600195</v>
      </c>
      <c r="D155" t="s">
        <v>100</v>
      </c>
      <c r="E155" t="s">
        <v>120</v>
      </c>
      <c r="F155" t="s">
        <v>104</v>
      </c>
      <c r="G155" t="s">
        <v>103</v>
      </c>
      <c r="H155" t="s">
        <v>525</v>
      </c>
      <c r="J155">
        <v>356481554</v>
      </c>
      <c r="AL155">
        <v>4600195</v>
      </c>
      <c r="AX155">
        <v>11</v>
      </c>
      <c r="AY155">
        <v>643501</v>
      </c>
      <c r="AZ155">
        <v>5472634</v>
      </c>
      <c r="BA155">
        <v>1016.64291044551</v>
      </c>
      <c r="BB155" t="s">
        <v>601</v>
      </c>
      <c r="BC155" t="s">
        <v>1072</v>
      </c>
      <c r="BD155" t="s">
        <v>94</v>
      </c>
      <c r="BF155" t="s">
        <v>1074</v>
      </c>
      <c r="BG155">
        <v>2</v>
      </c>
      <c r="BH155" t="s">
        <v>1073</v>
      </c>
      <c r="BI155">
        <v>4</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0.67390630939200402</v>
      </c>
      <c r="CM155">
        <v>0</v>
      </c>
      <c r="CN155">
        <v>0.04</v>
      </c>
      <c r="CO155">
        <v>0</v>
      </c>
      <c r="CP155">
        <v>0</v>
      </c>
      <c r="CQ155">
        <v>0.67</v>
      </c>
      <c r="CR155">
        <v>0.04</v>
      </c>
      <c r="CS155">
        <v>0.67</v>
      </c>
      <c r="CT155">
        <v>0.04</v>
      </c>
      <c r="CU155">
        <v>143883</v>
      </c>
      <c r="CV155">
        <v>0.24</v>
      </c>
      <c r="CW155">
        <v>2</v>
      </c>
      <c r="CX155">
        <v>0.12</v>
      </c>
      <c r="CY155" t="s">
        <v>1069</v>
      </c>
      <c r="CZ155">
        <v>91</v>
      </c>
      <c r="DA155">
        <v>150</v>
      </c>
      <c r="DB155">
        <v>66</v>
      </c>
      <c r="DC155">
        <v>96</v>
      </c>
      <c r="DD155" t="s">
        <v>887</v>
      </c>
      <c r="DE155" t="s">
        <v>0</v>
      </c>
      <c r="DF155">
        <f t="shared" si="4"/>
        <v>190.1500000000002</v>
      </c>
      <c r="DG155">
        <v>153</v>
      </c>
      <c r="DH155">
        <f t="shared" si="5"/>
        <v>190.07000000000016</v>
      </c>
    </row>
    <row r="156" spans="1:112" hidden="1" x14ac:dyDescent="0.35">
      <c r="A156">
        <v>1004601761</v>
      </c>
      <c r="D156" t="s">
        <v>100</v>
      </c>
      <c r="E156" t="s">
        <v>99</v>
      </c>
      <c r="F156" t="s">
        <v>104</v>
      </c>
      <c r="G156" t="s">
        <v>103</v>
      </c>
      <c r="J156">
        <v>356481554</v>
      </c>
      <c r="AL156">
        <v>4601761</v>
      </c>
      <c r="AX156">
        <v>11</v>
      </c>
      <c r="AY156">
        <v>643461</v>
      </c>
      <c r="AZ156">
        <v>5472634</v>
      </c>
      <c r="BA156">
        <v>1056.9839631930799</v>
      </c>
      <c r="BB156" t="s">
        <v>601</v>
      </c>
      <c r="BC156" t="s">
        <v>1072</v>
      </c>
      <c r="BD156" t="s">
        <v>94</v>
      </c>
      <c r="BF156" t="s">
        <v>1071</v>
      </c>
      <c r="BG156">
        <v>3</v>
      </c>
      <c r="BH156" t="s">
        <v>1070</v>
      </c>
      <c r="BI156">
        <v>3</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0.63390630939190196</v>
      </c>
      <c r="CM156">
        <v>0</v>
      </c>
      <c r="CN156">
        <v>0.2</v>
      </c>
      <c r="CO156">
        <v>0</v>
      </c>
      <c r="CP156">
        <v>0</v>
      </c>
      <c r="CQ156">
        <v>0.63</v>
      </c>
      <c r="CR156">
        <v>0.2</v>
      </c>
      <c r="CS156">
        <v>0.63</v>
      </c>
      <c r="CT156">
        <v>0.2</v>
      </c>
      <c r="CU156">
        <v>143883</v>
      </c>
      <c r="CV156">
        <v>0.24</v>
      </c>
      <c r="CW156">
        <v>2</v>
      </c>
      <c r="CX156">
        <v>0.12</v>
      </c>
      <c r="CY156" t="s">
        <v>1069</v>
      </c>
      <c r="CZ156">
        <v>91</v>
      </c>
      <c r="DA156">
        <v>150</v>
      </c>
      <c r="DB156">
        <v>66</v>
      </c>
      <c r="DC156">
        <v>96</v>
      </c>
      <c r="DD156" t="s">
        <v>887</v>
      </c>
      <c r="DE156" t="s">
        <v>0</v>
      </c>
      <c r="DF156">
        <f t="shared" si="4"/>
        <v>190.27000000000021</v>
      </c>
      <c r="DG156">
        <v>154</v>
      </c>
      <c r="DH156">
        <f t="shared" si="5"/>
        <v>190.27000000000015</v>
      </c>
    </row>
    <row r="157" spans="1:112" hidden="1" x14ac:dyDescent="0.35">
      <c r="A157">
        <v>1004601603</v>
      </c>
      <c r="D157" t="s">
        <v>100</v>
      </c>
      <c r="E157" t="s">
        <v>99</v>
      </c>
      <c r="F157" t="s">
        <v>104</v>
      </c>
      <c r="G157" t="s">
        <v>103</v>
      </c>
      <c r="J157">
        <v>356567475</v>
      </c>
      <c r="AL157">
        <v>4601603</v>
      </c>
      <c r="AX157">
        <v>11</v>
      </c>
      <c r="AY157">
        <v>635999</v>
      </c>
      <c r="AZ157">
        <v>5483756</v>
      </c>
      <c r="BA157">
        <v>33.344247480063402</v>
      </c>
      <c r="BB157" t="s">
        <v>1068</v>
      </c>
      <c r="BC157" t="s">
        <v>1068</v>
      </c>
      <c r="BD157" t="s">
        <v>94</v>
      </c>
      <c r="BF157" t="s">
        <v>449</v>
      </c>
      <c r="BG157">
        <v>1</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0.13899999999995499</v>
      </c>
      <c r="CM157">
        <v>0</v>
      </c>
      <c r="CN157">
        <v>0.14000000000000001</v>
      </c>
      <c r="CO157">
        <v>0</v>
      </c>
      <c r="CP157">
        <v>0</v>
      </c>
      <c r="CQ157">
        <v>0.14000000000000001</v>
      </c>
      <c r="CR157">
        <v>0.14000000000000001</v>
      </c>
      <c r="CS157">
        <v>0.14000000000000001</v>
      </c>
      <c r="CT157">
        <v>0.14000000000000001</v>
      </c>
      <c r="CU157">
        <v>135162</v>
      </c>
      <c r="CV157">
        <v>0.14000000000000001</v>
      </c>
      <c r="CW157">
        <v>1</v>
      </c>
      <c r="CX157">
        <v>0.14000000000000001</v>
      </c>
      <c r="CZ157">
        <v>88</v>
      </c>
      <c r="DA157">
        <v>102</v>
      </c>
      <c r="DB157">
        <v>115</v>
      </c>
      <c r="DC157">
        <v>97</v>
      </c>
      <c r="DD157" t="s">
        <v>887</v>
      </c>
      <c r="DE157" t="s">
        <v>0</v>
      </c>
      <c r="DF157">
        <f t="shared" si="4"/>
        <v>190.4100000000002</v>
      </c>
      <c r="DG157">
        <v>155</v>
      </c>
      <c r="DH157">
        <f t="shared" si="5"/>
        <v>190.41000000000014</v>
      </c>
    </row>
    <row r="158" spans="1:112" hidden="1" x14ac:dyDescent="0.35">
      <c r="A158">
        <v>1004605107</v>
      </c>
      <c r="D158" t="s">
        <v>100</v>
      </c>
      <c r="E158" t="s">
        <v>99</v>
      </c>
      <c r="F158" t="s">
        <v>104</v>
      </c>
      <c r="G158" t="s">
        <v>103</v>
      </c>
      <c r="J158">
        <v>356480267</v>
      </c>
      <c r="AL158">
        <v>4605107</v>
      </c>
      <c r="AX158">
        <v>11</v>
      </c>
      <c r="AY158">
        <v>655679</v>
      </c>
      <c r="AZ158">
        <v>5487044</v>
      </c>
      <c r="BA158">
        <v>137.19509981293101</v>
      </c>
      <c r="BB158" t="s">
        <v>569</v>
      </c>
      <c r="BC158" t="s">
        <v>569</v>
      </c>
      <c r="BD158" t="s">
        <v>94</v>
      </c>
      <c r="BE158" t="s">
        <v>1067</v>
      </c>
      <c r="BF158" t="s">
        <v>449</v>
      </c>
      <c r="BG158">
        <v>1</v>
      </c>
      <c r="BH158">
        <v>1004600956</v>
      </c>
      <c r="BI158">
        <v>1</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0.13999999999986501</v>
      </c>
      <c r="CL158">
        <v>0.19600000000002099</v>
      </c>
      <c r="CM158">
        <v>0</v>
      </c>
      <c r="CN158">
        <v>0.06</v>
      </c>
      <c r="CO158">
        <v>0.14000000000000001</v>
      </c>
      <c r="CP158">
        <v>0</v>
      </c>
      <c r="CQ158">
        <v>0.2</v>
      </c>
      <c r="CR158">
        <v>0.06</v>
      </c>
      <c r="CS158">
        <v>0.2</v>
      </c>
      <c r="CT158">
        <v>0.06</v>
      </c>
      <c r="CU158">
        <v>209282</v>
      </c>
      <c r="CV158">
        <v>0.2</v>
      </c>
      <c r="CW158">
        <v>2</v>
      </c>
      <c r="CX158">
        <v>0.1</v>
      </c>
      <c r="CZ158">
        <v>94</v>
      </c>
      <c r="DA158">
        <v>109</v>
      </c>
      <c r="DB158">
        <v>108</v>
      </c>
      <c r="DC158">
        <v>98</v>
      </c>
      <c r="DD158" t="s">
        <v>887</v>
      </c>
      <c r="DE158" t="s">
        <v>0</v>
      </c>
      <c r="DF158">
        <f t="shared" si="4"/>
        <v>190.51000000000019</v>
      </c>
      <c r="DG158">
        <v>156</v>
      </c>
      <c r="DH158">
        <f t="shared" si="5"/>
        <v>190.47000000000014</v>
      </c>
    </row>
    <row r="159" spans="1:112" hidden="1" x14ac:dyDescent="0.35">
      <c r="A159">
        <v>1004600956</v>
      </c>
      <c r="D159" t="s">
        <v>100</v>
      </c>
      <c r="E159" t="s">
        <v>99</v>
      </c>
      <c r="F159" t="s">
        <v>104</v>
      </c>
      <c r="G159" t="s">
        <v>103</v>
      </c>
      <c r="J159">
        <v>356480267</v>
      </c>
      <c r="AL159">
        <v>4600956</v>
      </c>
      <c r="AX159">
        <v>11</v>
      </c>
      <c r="AY159">
        <v>655606</v>
      </c>
      <c r="AZ159">
        <v>5487005</v>
      </c>
      <c r="BA159">
        <v>230.329016945505</v>
      </c>
      <c r="BB159" t="s">
        <v>569</v>
      </c>
      <c r="BC159" t="s">
        <v>569</v>
      </c>
      <c r="BD159" t="s">
        <v>94</v>
      </c>
      <c r="BE159" t="s">
        <v>1067</v>
      </c>
      <c r="BF159" t="s">
        <v>1066</v>
      </c>
      <c r="BG159">
        <v>2</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0.13999999999986501</v>
      </c>
      <c r="CL159">
        <v>0.13999999999986501</v>
      </c>
      <c r="CM159">
        <v>0.14000000000000001</v>
      </c>
      <c r="CN159">
        <v>0.14000000000000001</v>
      </c>
      <c r="CO159">
        <v>0.14000000000000001</v>
      </c>
      <c r="CP159">
        <v>0.14000000000000001</v>
      </c>
      <c r="CQ159">
        <v>0.14000000000000001</v>
      </c>
      <c r="CR159">
        <v>0.14000000000000001</v>
      </c>
      <c r="CS159">
        <v>0.14000000000000001</v>
      </c>
      <c r="CT159">
        <v>0.14000000000000001</v>
      </c>
      <c r="CU159">
        <v>209282</v>
      </c>
      <c r="CV159">
        <v>0.2</v>
      </c>
      <c r="CW159">
        <v>2</v>
      </c>
      <c r="CX159">
        <v>0.1</v>
      </c>
      <c r="CZ159">
        <v>94</v>
      </c>
      <c r="DA159">
        <v>109</v>
      </c>
      <c r="DB159">
        <v>108</v>
      </c>
      <c r="DC159">
        <v>98</v>
      </c>
      <c r="DD159" t="s">
        <v>887</v>
      </c>
      <c r="DE159" t="s">
        <v>0</v>
      </c>
      <c r="DF159">
        <f t="shared" si="4"/>
        <v>190.61000000000018</v>
      </c>
      <c r="DG159">
        <v>157</v>
      </c>
      <c r="DH159">
        <f t="shared" si="5"/>
        <v>190.61000000000013</v>
      </c>
    </row>
    <row r="160" spans="1:112" hidden="1" x14ac:dyDescent="0.35">
      <c r="A160">
        <v>1004606918</v>
      </c>
      <c r="D160" t="s">
        <v>100</v>
      </c>
      <c r="E160" t="s">
        <v>99</v>
      </c>
      <c r="F160" t="s">
        <v>104</v>
      </c>
      <c r="G160" t="s">
        <v>103</v>
      </c>
      <c r="J160">
        <v>356504427</v>
      </c>
      <c r="AL160">
        <v>4606918</v>
      </c>
      <c r="AX160">
        <v>11</v>
      </c>
      <c r="AY160">
        <v>654955</v>
      </c>
      <c r="AZ160">
        <v>5553021</v>
      </c>
      <c r="BA160">
        <v>95.448735905898204</v>
      </c>
      <c r="BB160" t="s">
        <v>1065</v>
      </c>
      <c r="BC160" t="s">
        <v>1065</v>
      </c>
      <c r="BD160" t="s">
        <v>94</v>
      </c>
      <c r="BF160" t="s">
        <v>449</v>
      </c>
      <c r="BG160">
        <v>1</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0.12907455927272701</v>
      </c>
      <c r="CL160">
        <v>0</v>
      </c>
      <c r="CM160">
        <v>0.12907455927272701</v>
      </c>
      <c r="CN160">
        <v>0</v>
      </c>
      <c r="CO160">
        <v>0.13</v>
      </c>
      <c r="CP160">
        <v>0.13</v>
      </c>
      <c r="CQ160">
        <v>0</v>
      </c>
      <c r="CR160">
        <v>0</v>
      </c>
      <c r="CS160">
        <v>0.13</v>
      </c>
      <c r="CT160">
        <v>0.13</v>
      </c>
      <c r="CU160">
        <v>276862</v>
      </c>
      <c r="CV160">
        <v>0.13</v>
      </c>
      <c r="CW160">
        <v>1</v>
      </c>
      <c r="CX160">
        <v>0.13</v>
      </c>
      <c r="CZ160">
        <v>89</v>
      </c>
      <c r="DA160">
        <v>103</v>
      </c>
      <c r="DB160">
        <v>117</v>
      </c>
      <c r="DC160">
        <v>99</v>
      </c>
      <c r="DD160" t="s">
        <v>887</v>
      </c>
      <c r="DE160" t="s">
        <v>0</v>
      </c>
      <c r="DF160">
        <f t="shared" si="4"/>
        <v>190.74000000000018</v>
      </c>
      <c r="DG160">
        <v>158</v>
      </c>
      <c r="DH160">
        <f t="shared" si="5"/>
        <v>190.74000000000012</v>
      </c>
    </row>
    <row r="161" spans="1:112" hidden="1" x14ac:dyDescent="0.35">
      <c r="A161">
        <v>1200000036</v>
      </c>
      <c r="D161" t="s">
        <v>1064</v>
      </c>
      <c r="E161" t="s">
        <v>99</v>
      </c>
      <c r="F161" t="s">
        <v>104</v>
      </c>
      <c r="G161" t="s">
        <v>103</v>
      </c>
      <c r="J161">
        <v>356535716</v>
      </c>
      <c r="AN161" t="s">
        <v>1063</v>
      </c>
      <c r="AX161">
        <v>11</v>
      </c>
      <c r="AY161">
        <v>640635</v>
      </c>
      <c r="AZ161">
        <v>5480754</v>
      </c>
      <c r="BA161">
        <v>435</v>
      </c>
      <c r="BB161" t="s">
        <v>157</v>
      </c>
      <c r="BC161" t="s">
        <v>156</v>
      </c>
      <c r="BD161" t="s">
        <v>94</v>
      </c>
      <c r="BF161" t="s">
        <v>238</v>
      </c>
      <c r="BG161">
        <v>3</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0.90799999999994796</v>
      </c>
      <c r="CM161">
        <v>0</v>
      </c>
      <c r="CN161">
        <v>0.06</v>
      </c>
      <c r="CO161">
        <v>0</v>
      </c>
      <c r="CP161">
        <v>0</v>
      </c>
      <c r="CQ161">
        <v>0.91</v>
      </c>
      <c r="CR161">
        <v>0.06</v>
      </c>
      <c r="CS161">
        <v>0.91</v>
      </c>
      <c r="CT161">
        <v>0.06</v>
      </c>
      <c r="CU161">
        <v>364062</v>
      </c>
      <c r="CV161">
        <v>0.91</v>
      </c>
      <c r="CW161">
        <v>2</v>
      </c>
      <c r="CX161">
        <v>0.45500000000000002</v>
      </c>
      <c r="CY161" t="s">
        <v>1061</v>
      </c>
      <c r="CZ161">
        <v>56</v>
      </c>
      <c r="DA161">
        <v>164</v>
      </c>
      <c r="DB161">
        <v>56</v>
      </c>
      <c r="DC161">
        <v>100</v>
      </c>
      <c r="DD161" t="s">
        <v>887</v>
      </c>
      <c r="DE161" t="s">
        <v>0</v>
      </c>
      <c r="DF161">
        <f t="shared" si="4"/>
        <v>191.19500000000019</v>
      </c>
      <c r="DG161">
        <v>159</v>
      </c>
      <c r="DH161">
        <f t="shared" si="5"/>
        <v>190.80000000000013</v>
      </c>
    </row>
    <row r="162" spans="1:112" hidden="1" x14ac:dyDescent="0.35">
      <c r="A162">
        <v>1004606808</v>
      </c>
      <c r="D162" t="s">
        <v>100</v>
      </c>
      <c r="E162" t="s">
        <v>180</v>
      </c>
      <c r="F162" t="s">
        <v>104</v>
      </c>
      <c r="G162" t="s">
        <v>103</v>
      </c>
      <c r="I162" t="s">
        <v>7</v>
      </c>
      <c r="J162">
        <v>356535716</v>
      </c>
      <c r="AL162">
        <v>4606808</v>
      </c>
      <c r="AX162">
        <v>11</v>
      </c>
      <c r="AY162">
        <v>640650</v>
      </c>
      <c r="AZ162">
        <v>5480801</v>
      </c>
      <c r="BA162">
        <v>492.24775603656201</v>
      </c>
      <c r="BB162" t="s">
        <v>157</v>
      </c>
      <c r="BC162" t="s">
        <v>156</v>
      </c>
      <c r="BD162" t="s">
        <v>94</v>
      </c>
      <c r="BF162" t="s">
        <v>1062</v>
      </c>
      <c r="BG162">
        <v>4</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0.85100000000000198</v>
      </c>
      <c r="CM162">
        <v>0</v>
      </c>
      <c r="CN162">
        <v>0.85</v>
      </c>
      <c r="CO162">
        <v>0</v>
      </c>
      <c r="CP162">
        <v>0</v>
      </c>
      <c r="CQ162">
        <v>0.85</v>
      </c>
      <c r="CR162">
        <v>0.85</v>
      </c>
      <c r="CS162">
        <v>0.85</v>
      </c>
      <c r="CT162">
        <v>0.85</v>
      </c>
      <c r="CU162">
        <v>364062</v>
      </c>
      <c r="CV162">
        <v>0.91</v>
      </c>
      <c r="CW162">
        <v>2</v>
      </c>
      <c r="CX162">
        <v>0.45500000000000002</v>
      </c>
      <c r="CY162" t="s">
        <v>1061</v>
      </c>
      <c r="CZ162">
        <v>56</v>
      </c>
      <c r="DA162">
        <v>164</v>
      </c>
      <c r="DB162">
        <v>56</v>
      </c>
      <c r="DC162">
        <v>100</v>
      </c>
      <c r="DD162" t="s">
        <v>887</v>
      </c>
      <c r="DE162" t="s">
        <v>0</v>
      </c>
      <c r="DF162">
        <f t="shared" si="4"/>
        <v>191.6500000000002</v>
      </c>
      <c r="DG162">
        <v>160</v>
      </c>
      <c r="DH162">
        <f t="shared" si="5"/>
        <v>191.65000000000012</v>
      </c>
    </row>
    <row r="163" spans="1:112" s="5" customFormat="1" hidden="1" x14ac:dyDescent="0.35">
      <c r="A163" s="5">
        <v>62413</v>
      </c>
      <c r="B163" s="5">
        <v>62413</v>
      </c>
      <c r="D163" s="5" t="s">
        <v>121</v>
      </c>
      <c r="E163" s="5" t="s">
        <v>99</v>
      </c>
      <c r="F163" s="5" t="s">
        <v>104</v>
      </c>
      <c r="G163" s="5" t="s">
        <v>119</v>
      </c>
      <c r="J163" s="5">
        <v>356536929</v>
      </c>
      <c r="K163" s="5" t="s">
        <v>1056</v>
      </c>
      <c r="L163" s="5" t="s">
        <v>1057</v>
      </c>
      <c r="M163" s="5" t="s">
        <v>39</v>
      </c>
      <c r="N163" s="5" t="s">
        <v>69</v>
      </c>
      <c r="P163" s="5" t="s">
        <v>38</v>
      </c>
      <c r="Q163" s="5" t="s">
        <v>37</v>
      </c>
      <c r="V163" s="5" t="s">
        <v>36</v>
      </c>
      <c r="AE163" s="5" t="s">
        <v>35</v>
      </c>
      <c r="AI163" s="5" t="s">
        <v>1060</v>
      </c>
      <c r="AJ163" s="5" t="s">
        <v>1059</v>
      </c>
      <c r="AK163" s="5" t="s">
        <v>1058</v>
      </c>
      <c r="AL163" s="5">
        <v>4603095</v>
      </c>
      <c r="AM163" s="5" t="s">
        <v>114</v>
      </c>
      <c r="AN163" s="5" t="s">
        <v>113</v>
      </c>
      <c r="AO163" s="5" t="s">
        <v>1057</v>
      </c>
      <c r="AP163" s="5" t="s">
        <v>1056</v>
      </c>
      <c r="AQ163" s="5" t="s">
        <v>1055</v>
      </c>
      <c r="AR163" s="6">
        <v>45519</v>
      </c>
      <c r="AX163" s="5">
        <v>11</v>
      </c>
      <c r="AY163" s="5">
        <v>653792</v>
      </c>
      <c r="AZ163" s="5">
        <v>5541487</v>
      </c>
      <c r="BA163" s="5">
        <v>2423</v>
      </c>
      <c r="BB163" s="5" t="s">
        <v>1054</v>
      </c>
      <c r="BC163" s="5" t="s">
        <v>1054</v>
      </c>
      <c r="BD163" s="5" t="s">
        <v>94</v>
      </c>
      <c r="BF163" s="5" t="s">
        <v>1053</v>
      </c>
      <c r="BG163" s="5">
        <v>2</v>
      </c>
      <c r="BM163" s="5">
        <v>0</v>
      </c>
      <c r="BN163" s="5">
        <v>0</v>
      </c>
      <c r="BO163" s="5">
        <v>0</v>
      </c>
      <c r="BP163" s="5">
        <v>0</v>
      </c>
      <c r="BQ163" s="5">
        <v>0</v>
      </c>
      <c r="BR163" s="5">
        <v>0</v>
      </c>
      <c r="BS163" s="5">
        <v>0</v>
      </c>
      <c r="BT163" s="5">
        <v>0</v>
      </c>
      <c r="BU163" s="5">
        <v>0</v>
      </c>
      <c r="BV163" s="5">
        <v>0</v>
      </c>
      <c r="BW163" s="5">
        <v>0</v>
      </c>
      <c r="BX163" s="5">
        <v>0</v>
      </c>
      <c r="BY163" s="5">
        <v>0</v>
      </c>
      <c r="BZ163" s="5">
        <v>0</v>
      </c>
      <c r="CA163" s="5">
        <v>0</v>
      </c>
      <c r="CB163" s="5">
        <v>0</v>
      </c>
      <c r="CC163" s="5">
        <v>0</v>
      </c>
      <c r="CD163" s="5">
        <v>0</v>
      </c>
      <c r="CE163" s="5">
        <v>0</v>
      </c>
      <c r="CF163" s="5">
        <v>0</v>
      </c>
      <c r="CG163" s="5">
        <v>0</v>
      </c>
      <c r="CH163" s="5">
        <v>0</v>
      </c>
      <c r="CI163" s="5">
        <v>0</v>
      </c>
      <c r="CJ163" s="5">
        <v>0</v>
      </c>
      <c r="CK163" s="5">
        <v>0</v>
      </c>
      <c r="CL163" s="5">
        <v>0.37086331562989</v>
      </c>
      <c r="CM163" s="5">
        <v>0</v>
      </c>
      <c r="CN163" s="5">
        <v>0.37</v>
      </c>
      <c r="CO163" s="5">
        <v>0</v>
      </c>
      <c r="CP163" s="5">
        <v>0</v>
      </c>
      <c r="CQ163" s="5">
        <v>0.37</v>
      </c>
      <c r="CR163" s="5">
        <v>0.37</v>
      </c>
      <c r="CS163" s="5">
        <v>0.37</v>
      </c>
      <c r="CT163" s="5">
        <v>0.37</v>
      </c>
      <c r="CU163" s="5">
        <v>455622</v>
      </c>
      <c r="CV163" s="5">
        <v>0.37</v>
      </c>
      <c r="CW163" s="5">
        <v>1</v>
      </c>
      <c r="CX163" s="5">
        <v>0.37</v>
      </c>
      <c r="CY163" s="5" t="s">
        <v>1052</v>
      </c>
      <c r="CZ163" s="5">
        <v>65</v>
      </c>
      <c r="DA163" s="5">
        <v>131</v>
      </c>
      <c r="DB163" s="5">
        <v>89</v>
      </c>
      <c r="DC163" s="5">
        <v>101</v>
      </c>
      <c r="DD163" s="5" t="s">
        <v>887</v>
      </c>
      <c r="DE163" s="5" t="s">
        <v>0</v>
      </c>
      <c r="DF163" s="5">
        <f t="shared" si="4"/>
        <v>192.02000000000021</v>
      </c>
      <c r="DG163" s="5">
        <v>161</v>
      </c>
      <c r="DH163" s="5">
        <f t="shared" si="5"/>
        <v>192.02000000000012</v>
      </c>
    </row>
    <row r="164" spans="1:112" hidden="1" x14ac:dyDescent="0.35">
      <c r="A164">
        <v>1024760705</v>
      </c>
      <c r="D164" t="s">
        <v>100</v>
      </c>
      <c r="E164" t="s">
        <v>99</v>
      </c>
      <c r="F164" t="s">
        <v>104</v>
      </c>
      <c r="G164" t="s">
        <v>103</v>
      </c>
      <c r="J164">
        <v>356553458</v>
      </c>
      <c r="AL164">
        <v>24760705</v>
      </c>
      <c r="AX164">
        <v>11</v>
      </c>
      <c r="AY164">
        <v>667795</v>
      </c>
      <c r="AZ164">
        <v>5482305</v>
      </c>
      <c r="BA164">
        <v>1223.70182223804</v>
      </c>
      <c r="BB164" t="s">
        <v>1050</v>
      </c>
      <c r="BC164" t="s">
        <v>1051</v>
      </c>
      <c r="BD164" t="s">
        <v>94</v>
      </c>
      <c r="BF164" t="s">
        <v>327</v>
      </c>
      <c r="BG164">
        <v>2</v>
      </c>
      <c r="BH164">
        <v>1004601913</v>
      </c>
      <c r="BI164">
        <v>1</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0.496450992648995</v>
      </c>
      <c r="CM164">
        <v>0</v>
      </c>
      <c r="CN164">
        <v>0.19</v>
      </c>
      <c r="CO164">
        <v>0</v>
      </c>
      <c r="CP164">
        <v>0</v>
      </c>
      <c r="CQ164">
        <v>0.5</v>
      </c>
      <c r="CR164">
        <v>0.2</v>
      </c>
      <c r="CS164">
        <v>0.5</v>
      </c>
      <c r="CT164">
        <v>0.2</v>
      </c>
      <c r="CU164">
        <v>148242</v>
      </c>
      <c r="CV164">
        <v>0.5</v>
      </c>
      <c r="CW164">
        <v>2</v>
      </c>
      <c r="CX164">
        <v>0.25</v>
      </c>
      <c r="CY164" t="s">
        <v>1047</v>
      </c>
      <c r="CZ164">
        <v>75</v>
      </c>
      <c r="DA164">
        <v>141</v>
      </c>
      <c r="DB164">
        <v>80</v>
      </c>
      <c r="DC164">
        <v>102</v>
      </c>
      <c r="DD164" t="s">
        <v>887</v>
      </c>
      <c r="DE164" t="s">
        <v>0</v>
      </c>
      <c r="DF164">
        <f t="shared" si="4"/>
        <v>192.27000000000021</v>
      </c>
      <c r="DG164">
        <v>162</v>
      </c>
      <c r="DH164">
        <f t="shared" si="5"/>
        <v>192.22000000000011</v>
      </c>
    </row>
    <row r="165" spans="1:112" hidden="1" x14ac:dyDescent="0.35">
      <c r="A165">
        <v>1004601913</v>
      </c>
      <c r="D165" t="s">
        <v>100</v>
      </c>
      <c r="E165" t="s">
        <v>99</v>
      </c>
      <c r="F165" t="s">
        <v>104</v>
      </c>
      <c r="G165" t="s">
        <v>103</v>
      </c>
      <c r="J165">
        <v>356553458</v>
      </c>
      <c r="AL165">
        <v>4601913</v>
      </c>
      <c r="AX165">
        <v>11</v>
      </c>
      <c r="AY165">
        <v>667799</v>
      </c>
      <c r="AZ165">
        <v>5482123</v>
      </c>
      <c r="BA165">
        <v>1418.4005521829899</v>
      </c>
      <c r="BB165" t="s">
        <v>1050</v>
      </c>
      <c r="BC165" t="s">
        <v>1049</v>
      </c>
      <c r="BD165" t="s">
        <v>94</v>
      </c>
      <c r="BF165" t="s">
        <v>1048</v>
      </c>
      <c r="BG165">
        <v>3</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0.30245181316538999</v>
      </c>
      <c r="CM165">
        <v>0</v>
      </c>
      <c r="CN165">
        <v>0.3</v>
      </c>
      <c r="CO165">
        <v>0</v>
      </c>
      <c r="CP165">
        <v>0</v>
      </c>
      <c r="CQ165">
        <v>0.3</v>
      </c>
      <c r="CR165">
        <v>0.3</v>
      </c>
      <c r="CS165">
        <v>0.3</v>
      </c>
      <c r="CT165">
        <v>0.3</v>
      </c>
      <c r="CU165">
        <v>148242</v>
      </c>
      <c r="CV165">
        <v>0.5</v>
      </c>
      <c r="CW165">
        <v>2</v>
      </c>
      <c r="CX165">
        <v>0.25</v>
      </c>
      <c r="CY165" t="s">
        <v>1047</v>
      </c>
      <c r="CZ165">
        <v>75</v>
      </c>
      <c r="DA165">
        <v>141</v>
      </c>
      <c r="DB165">
        <v>80</v>
      </c>
      <c r="DC165">
        <v>102</v>
      </c>
      <c r="DD165" t="s">
        <v>887</v>
      </c>
      <c r="DE165" t="s">
        <v>0</v>
      </c>
      <c r="DF165">
        <f t="shared" si="4"/>
        <v>192.52000000000021</v>
      </c>
      <c r="DG165">
        <v>163</v>
      </c>
      <c r="DH165">
        <f t="shared" si="5"/>
        <v>192.52000000000012</v>
      </c>
    </row>
    <row r="166" spans="1:112" hidden="1" x14ac:dyDescent="0.35">
      <c r="A166">
        <v>1004607003</v>
      </c>
      <c r="D166" t="s">
        <v>100</v>
      </c>
      <c r="E166" t="s">
        <v>99</v>
      </c>
      <c r="F166" t="s">
        <v>104</v>
      </c>
      <c r="G166" t="s">
        <v>103</v>
      </c>
      <c r="J166">
        <v>356568317</v>
      </c>
      <c r="AL166">
        <v>4607003</v>
      </c>
      <c r="AX166">
        <v>11</v>
      </c>
      <c r="AY166">
        <v>659238</v>
      </c>
      <c r="AZ166">
        <v>5489723</v>
      </c>
      <c r="BA166">
        <v>204.28732958439701</v>
      </c>
      <c r="BB166" t="s">
        <v>1046</v>
      </c>
      <c r="BC166" t="s">
        <v>1046</v>
      </c>
      <c r="BD166" t="s">
        <v>94</v>
      </c>
      <c r="BF166" t="s">
        <v>449</v>
      </c>
      <c r="BG166">
        <v>1</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0.13200000000013101</v>
      </c>
      <c r="CM166">
        <v>0</v>
      </c>
      <c r="CN166">
        <v>0.13</v>
      </c>
      <c r="CO166">
        <v>0</v>
      </c>
      <c r="CP166">
        <v>0</v>
      </c>
      <c r="CQ166">
        <v>0.13</v>
      </c>
      <c r="CR166">
        <v>0.13</v>
      </c>
      <c r="CS166">
        <v>0.13</v>
      </c>
      <c r="CT166">
        <v>0.13</v>
      </c>
      <c r="CU166">
        <v>279042</v>
      </c>
      <c r="CV166">
        <v>0.13</v>
      </c>
      <c r="CW166">
        <v>1</v>
      </c>
      <c r="CX166">
        <v>0.13</v>
      </c>
      <c r="CZ166">
        <v>89</v>
      </c>
      <c r="DA166">
        <v>105</v>
      </c>
      <c r="DB166">
        <v>116</v>
      </c>
      <c r="DC166">
        <v>103</v>
      </c>
      <c r="DD166" t="s">
        <v>887</v>
      </c>
      <c r="DE166" t="s">
        <v>0</v>
      </c>
      <c r="DF166">
        <f t="shared" si="4"/>
        <v>192.6500000000002</v>
      </c>
      <c r="DG166">
        <v>164</v>
      </c>
      <c r="DH166">
        <f t="shared" si="5"/>
        <v>192.65000000000012</v>
      </c>
    </row>
    <row r="167" spans="1:112" s="5" customFormat="1" hidden="1" x14ac:dyDescent="0.35">
      <c r="A167" s="5">
        <v>50254</v>
      </c>
      <c r="B167" s="5">
        <v>50254</v>
      </c>
      <c r="D167" s="5" t="s">
        <v>121</v>
      </c>
      <c r="E167" s="5" t="s">
        <v>120</v>
      </c>
      <c r="F167" s="5" t="s">
        <v>104</v>
      </c>
      <c r="G167" s="5" t="s">
        <v>103</v>
      </c>
      <c r="H167" s="5" t="s">
        <v>762</v>
      </c>
      <c r="J167" s="5">
        <v>356567323</v>
      </c>
      <c r="K167" s="5" t="s">
        <v>310</v>
      </c>
      <c r="L167" s="5" t="s">
        <v>1043</v>
      </c>
      <c r="M167" s="5" t="s">
        <v>39</v>
      </c>
      <c r="N167" s="5" t="s">
        <v>1041</v>
      </c>
      <c r="P167" s="5" t="s">
        <v>38</v>
      </c>
      <c r="Q167" s="5" t="s">
        <v>37</v>
      </c>
      <c r="T167" s="5" t="s">
        <v>6</v>
      </c>
      <c r="V167" s="5" t="s">
        <v>149</v>
      </c>
      <c r="AE167" s="5" t="s">
        <v>35</v>
      </c>
      <c r="AI167" s="5" t="s">
        <v>1045</v>
      </c>
      <c r="AJ167" s="5" t="s">
        <v>1039</v>
      </c>
      <c r="AK167" s="5" t="s">
        <v>1044</v>
      </c>
      <c r="AL167" s="5">
        <v>4600357</v>
      </c>
      <c r="AM167" s="5" t="s">
        <v>114</v>
      </c>
      <c r="AN167" s="5" t="s">
        <v>113</v>
      </c>
      <c r="AO167" s="5" t="s">
        <v>1043</v>
      </c>
      <c r="AP167" s="5" t="s">
        <v>1037</v>
      </c>
      <c r="AQ167" s="5" t="s">
        <v>1042</v>
      </c>
      <c r="AR167" s="6">
        <v>45518</v>
      </c>
      <c r="AX167" s="5">
        <v>11</v>
      </c>
      <c r="AY167" s="5">
        <v>664858</v>
      </c>
      <c r="AZ167" s="5">
        <v>5489753</v>
      </c>
      <c r="BA167" s="5">
        <v>51</v>
      </c>
      <c r="BB167" s="5" t="s">
        <v>756</v>
      </c>
      <c r="BC167" s="5" t="s">
        <v>756</v>
      </c>
      <c r="BD167" s="5" t="s">
        <v>94</v>
      </c>
      <c r="BF167" s="5" t="s">
        <v>449</v>
      </c>
      <c r="BG167" s="5">
        <v>1</v>
      </c>
      <c r="BH167" s="5">
        <v>50255</v>
      </c>
      <c r="BI167" s="5">
        <v>1</v>
      </c>
      <c r="BM167" s="5">
        <v>0</v>
      </c>
      <c r="BN167" s="5">
        <v>0</v>
      </c>
      <c r="BO167" s="5">
        <v>0</v>
      </c>
      <c r="BP167" s="5">
        <v>0</v>
      </c>
      <c r="BQ167" s="5">
        <v>0</v>
      </c>
      <c r="BR167" s="5">
        <v>0</v>
      </c>
      <c r="BS167" s="5">
        <v>0</v>
      </c>
      <c r="BT167" s="5">
        <v>0</v>
      </c>
      <c r="BU167" s="5">
        <v>0</v>
      </c>
      <c r="BV167" s="5">
        <v>0</v>
      </c>
      <c r="BW167" s="5">
        <v>0</v>
      </c>
      <c r="BX167" s="5">
        <v>0</v>
      </c>
      <c r="BY167" s="5">
        <v>0</v>
      </c>
      <c r="BZ167" s="5">
        <v>0</v>
      </c>
      <c r="CA167" s="5">
        <v>0</v>
      </c>
      <c r="CB167" s="5">
        <v>0</v>
      </c>
      <c r="CC167" s="5">
        <v>0</v>
      </c>
      <c r="CD167" s="5">
        <v>0</v>
      </c>
      <c r="CE167" s="5">
        <v>0</v>
      </c>
      <c r="CF167" s="5">
        <v>0</v>
      </c>
      <c r="CG167" s="5">
        <v>0</v>
      </c>
      <c r="CH167" s="5">
        <v>0</v>
      </c>
      <c r="CI167" s="5">
        <v>0</v>
      </c>
      <c r="CJ167" s="5">
        <v>0</v>
      </c>
      <c r="CK167" s="5">
        <v>0.167227185531965</v>
      </c>
      <c r="CL167" s="5">
        <v>0.167227185531965</v>
      </c>
      <c r="CM167" s="5">
        <v>0.03</v>
      </c>
      <c r="CN167" s="5">
        <v>0.03</v>
      </c>
      <c r="CO167" s="5">
        <v>0.17</v>
      </c>
      <c r="CP167" s="5">
        <v>0.03</v>
      </c>
      <c r="CQ167" s="5">
        <v>0.17</v>
      </c>
      <c r="CR167" s="5">
        <v>0.03</v>
      </c>
      <c r="CS167" s="5">
        <v>0.17</v>
      </c>
      <c r="CT167" s="5">
        <v>0.03</v>
      </c>
      <c r="CU167" s="5">
        <v>433822</v>
      </c>
      <c r="CV167" s="5">
        <v>0.17</v>
      </c>
      <c r="CW167" s="5">
        <v>2</v>
      </c>
      <c r="CX167" s="5">
        <v>8.5000000000000006E-2</v>
      </c>
      <c r="CZ167" s="5">
        <v>96</v>
      </c>
      <c r="DA167" s="5">
        <v>110</v>
      </c>
      <c r="DB167" s="5">
        <v>111</v>
      </c>
      <c r="DC167" s="5">
        <v>104</v>
      </c>
      <c r="DD167" s="5" t="s">
        <v>887</v>
      </c>
      <c r="DE167" s="5" t="s">
        <v>0</v>
      </c>
      <c r="DF167" s="5">
        <f t="shared" si="4"/>
        <v>192.73500000000021</v>
      </c>
      <c r="DG167" s="5">
        <v>165</v>
      </c>
      <c r="DH167" s="5">
        <f t="shared" si="5"/>
        <v>192.68000000000012</v>
      </c>
    </row>
    <row r="168" spans="1:112" s="5" customFormat="1" hidden="1" x14ac:dyDescent="0.35">
      <c r="A168" s="5">
        <v>50255</v>
      </c>
      <c r="B168" s="5">
        <v>50255</v>
      </c>
      <c r="D168" s="5" t="s">
        <v>121</v>
      </c>
      <c r="E168" s="5" t="s">
        <v>180</v>
      </c>
      <c r="F168" s="5" t="s">
        <v>104</v>
      </c>
      <c r="G168" s="5" t="s">
        <v>103</v>
      </c>
      <c r="I168" s="5" t="s">
        <v>7</v>
      </c>
      <c r="J168" s="5">
        <v>356567323</v>
      </c>
      <c r="K168" s="5" t="s">
        <v>310</v>
      </c>
      <c r="L168" s="5" t="s">
        <v>176</v>
      </c>
      <c r="M168" s="5" t="s">
        <v>39</v>
      </c>
      <c r="N168" s="5" t="s">
        <v>1041</v>
      </c>
      <c r="P168" s="5" t="s">
        <v>38</v>
      </c>
      <c r="Q168" s="5" t="s">
        <v>37</v>
      </c>
      <c r="V168" s="5" t="s">
        <v>149</v>
      </c>
      <c r="AE168" s="5" t="s">
        <v>35</v>
      </c>
      <c r="AI168" s="5" t="s">
        <v>1040</v>
      </c>
      <c r="AJ168" s="5" t="s">
        <v>1039</v>
      </c>
      <c r="AK168" s="5" t="s">
        <v>1038</v>
      </c>
      <c r="AL168" s="5">
        <v>4606744</v>
      </c>
      <c r="AM168" s="5" t="s">
        <v>114</v>
      </c>
      <c r="AN168" s="5" t="s">
        <v>113</v>
      </c>
      <c r="AO168" s="5" t="s">
        <v>176</v>
      </c>
      <c r="AP168" s="5" t="s">
        <v>1037</v>
      </c>
      <c r="AQ168" s="5" t="s">
        <v>1036</v>
      </c>
      <c r="AR168" s="6">
        <v>45518</v>
      </c>
      <c r="AX168" s="5">
        <v>11</v>
      </c>
      <c r="AY168" s="5">
        <v>664871</v>
      </c>
      <c r="AZ168" s="5">
        <v>5489726</v>
      </c>
      <c r="BA168" s="5">
        <v>81</v>
      </c>
      <c r="BB168" s="5" t="s">
        <v>756</v>
      </c>
      <c r="BC168" s="5" t="s">
        <v>756</v>
      </c>
      <c r="BD168" s="5" t="s">
        <v>94</v>
      </c>
      <c r="BF168" s="5" t="s">
        <v>1035</v>
      </c>
      <c r="BG168" s="5">
        <v>2</v>
      </c>
      <c r="BM168" s="5">
        <v>0</v>
      </c>
      <c r="BN168" s="5">
        <v>0</v>
      </c>
      <c r="BO168" s="5">
        <v>0</v>
      </c>
      <c r="BP168" s="5">
        <v>0</v>
      </c>
      <c r="BQ168" s="5">
        <v>0</v>
      </c>
      <c r="BR168" s="5">
        <v>0</v>
      </c>
      <c r="BS168" s="5">
        <v>0</v>
      </c>
      <c r="BT168" s="5">
        <v>0</v>
      </c>
      <c r="BU168" s="5">
        <v>0</v>
      </c>
      <c r="BV168" s="5">
        <v>0</v>
      </c>
      <c r="BW168" s="5">
        <v>0</v>
      </c>
      <c r="BX168" s="5">
        <v>0</v>
      </c>
      <c r="BY168" s="5">
        <v>0</v>
      </c>
      <c r="BZ168" s="5">
        <v>0</v>
      </c>
      <c r="CA168" s="5">
        <v>0</v>
      </c>
      <c r="CB168" s="5">
        <v>0</v>
      </c>
      <c r="CC168" s="5">
        <v>0</v>
      </c>
      <c r="CD168" s="5">
        <v>0</v>
      </c>
      <c r="CE168" s="5">
        <v>0</v>
      </c>
      <c r="CF168" s="5">
        <v>0</v>
      </c>
      <c r="CG168" s="5">
        <v>0</v>
      </c>
      <c r="CH168" s="5">
        <v>0</v>
      </c>
      <c r="CI168" s="5">
        <v>0</v>
      </c>
      <c r="CJ168" s="5">
        <v>0</v>
      </c>
      <c r="CK168" s="5">
        <v>0.13722718553182001</v>
      </c>
      <c r="CL168" s="5">
        <v>0.13722718553182001</v>
      </c>
      <c r="CM168" s="5">
        <v>0.14000000000000001</v>
      </c>
      <c r="CN168" s="5">
        <v>0.14000000000000001</v>
      </c>
      <c r="CO168" s="5">
        <v>0.14000000000000001</v>
      </c>
      <c r="CP168" s="5">
        <v>0.14000000000000001</v>
      </c>
      <c r="CQ168" s="5">
        <v>0.14000000000000001</v>
      </c>
      <c r="CR168" s="5">
        <v>0.14000000000000001</v>
      </c>
      <c r="CS168" s="5">
        <v>0.14000000000000001</v>
      </c>
      <c r="CT168" s="5">
        <v>0.14000000000000001</v>
      </c>
      <c r="CU168" s="5">
        <v>433822</v>
      </c>
      <c r="CV168" s="5">
        <v>0.17</v>
      </c>
      <c r="CW168" s="5">
        <v>2</v>
      </c>
      <c r="CX168" s="5">
        <v>8.5000000000000006E-2</v>
      </c>
      <c r="CZ168" s="5">
        <v>96</v>
      </c>
      <c r="DA168" s="5">
        <v>110</v>
      </c>
      <c r="DB168" s="5">
        <v>111</v>
      </c>
      <c r="DC168" s="5">
        <v>104</v>
      </c>
      <c r="DD168" s="5" t="s">
        <v>887</v>
      </c>
      <c r="DE168" s="5" t="s">
        <v>0</v>
      </c>
      <c r="DF168" s="5">
        <f t="shared" si="4"/>
        <v>192.82000000000022</v>
      </c>
      <c r="DG168" s="5">
        <v>166</v>
      </c>
      <c r="DH168" s="5">
        <f t="shared" si="5"/>
        <v>192.82000000000011</v>
      </c>
    </row>
    <row r="169" spans="1:112" hidden="1" x14ac:dyDescent="0.35">
      <c r="A169">
        <v>1004604611</v>
      </c>
      <c r="D169" t="s">
        <v>100</v>
      </c>
      <c r="E169" t="s">
        <v>99</v>
      </c>
      <c r="F169" t="s">
        <v>104</v>
      </c>
      <c r="G169" t="s">
        <v>103</v>
      </c>
      <c r="J169">
        <v>356480727</v>
      </c>
      <c r="AL169">
        <v>4604611</v>
      </c>
      <c r="AX169">
        <v>11</v>
      </c>
      <c r="AY169">
        <v>653513</v>
      </c>
      <c r="AZ169">
        <v>5555340</v>
      </c>
      <c r="BA169">
        <v>452.93585344586398</v>
      </c>
      <c r="BB169" t="s">
        <v>1034</v>
      </c>
      <c r="BC169" t="s">
        <v>1034</v>
      </c>
      <c r="BD169" t="s">
        <v>94</v>
      </c>
      <c r="BF169" t="s">
        <v>449</v>
      </c>
      <c r="BG169">
        <v>1</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0.12799999999983999</v>
      </c>
      <c r="CL169">
        <v>0</v>
      </c>
      <c r="CM169">
        <v>0.13</v>
      </c>
      <c r="CN169">
        <v>0</v>
      </c>
      <c r="CO169">
        <v>0.13</v>
      </c>
      <c r="CP169">
        <v>0.13</v>
      </c>
      <c r="CQ169">
        <v>0</v>
      </c>
      <c r="CR169">
        <v>0</v>
      </c>
      <c r="CS169">
        <v>0.13</v>
      </c>
      <c r="CT169">
        <v>0.13</v>
      </c>
      <c r="CU169">
        <v>204922</v>
      </c>
      <c r="CV169">
        <v>0.13</v>
      </c>
      <c r="CW169">
        <v>1</v>
      </c>
      <c r="CX169">
        <v>0.13</v>
      </c>
      <c r="CZ169">
        <v>89</v>
      </c>
      <c r="DA169">
        <v>104</v>
      </c>
      <c r="DB169">
        <v>119</v>
      </c>
      <c r="DC169">
        <v>105</v>
      </c>
      <c r="DD169" t="s">
        <v>887</v>
      </c>
      <c r="DE169" t="s">
        <v>0</v>
      </c>
      <c r="DF169">
        <f t="shared" si="4"/>
        <v>192.95000000000022</v>
      </c>
      <c r="DG169">
        <v>167</v>
      </c>
      <c r="DH169">
        <f t="shared" si="5"/>
        <v>192.9500000000001</v>
      </c>
    </row>
    <row r="170" spans="1:112" hidden="1" x14ac:dyDescent="0.35">
      <c r="A170">
        <v>1004600327</v>
      </c>
      <c r="D170" t="s">
        <v>100</v>
      </c>
      <c r="E170" t="s">
        <v>120</v>
      </c>
      <c r="F170" t="s">
        <v>104</v>
      </c>
      <c r="G170" t="s">
        <v>103</v>
      </c>
      <c r="H170" t="s">
        <v>525</v>
      </c>
      <c r="J170">
        <v>356546584</v>
      </c>
      <c r="AL170">
        <v>4600327</v>
      </c>
      <c r="AX170">
        <v>11</v>
      </c>
      <c r="AY170">
        <v>642327</v>
      </c>
      <c r="AZ170">
        <v>5474990</v>
      </c>
      <c r="BA170">
        <v>771.71970317366197</v>
      </c>
      <c r="BB170" t="s">
        <v>1033</v>
      </c>
      <c r="BC170" t="s">
        <v>1032</v>
      </c>
      <c r="BD170" t="s">
        <v>94</v>
      </c>
      <c r="BF170" t="s">
        <v>449</v>
      </c>
      <c r="BG170">
        <v>1</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0.113000000000054</v>
      </c>
      <c r="CM170">
        <v>0</v>
      </c>
      <c r="CN170">
        <v>0.11</v>
      </c>
      <c r="CO170">
        <v>0</v>
      </c>
      <c r="CP170">
        <v>0</v>
      </c>
      <c r="CQ170">
        <v>0.11</v>
      </c>
      <c r="CR170">
        <v>0.11</v>
      </c>
      <c r="CS170">
        <v>0.11</v>
      </c>
      <c r="CT170">
        <v>0.11</v>
      </c>
      <c r="CU170">
        <v>76302</v>
      </c>
      <c r="CV170">
        <v>0.11</v>
      </c>
      <c r="CW170">
        <v>1</v>
      </c>
      <c r="CX170">
        <v>0.11</v>
      </c>
      <c r="CZ170">
        <v>92</v>
      </c>
      <c r="DA170">
        <v>108</v>
      </c>
      <c r="DB170">
        <v>120</v>
      </c>
      <c r="DC170">
        <v>106</v>
      </c>
      <c r="DD170" t="s">
        <v>887</v>
      </c>
      <c r="DE170" t="s">
        <v>0</v>
      </c>
      <c r="DF170">
        <f t="shared" si="4"/>
        <v>193.06000000000023</v>
      </c>
      <c r="DG170">
        <v>168</v>
      </c>
      <c r="DH170">
        <f t="shared" si="5"/>
        <v>193.06000000000012</v>
      </c>
    </row>
    <row r="171" spans="1:112" hidden="1" x14ac:dyDescent="0.35">
      <c r="A171">
        <v>1004604422</v>
      </c>
      <c r="D171" t="s">
        <v>100</v>
      </c>
      <c r="E171" t="s">
        <v>120</v>
      </c>
      <c r="F171" t="s">
        <v>104</v>
      </c>
      <c r="G171" t="s">
        <v>103</v>
      </c>
      <c r="H171" t="s">
        <v>526</v>
      </c>
      <c r="J171">
        <v>356562540</v>
      </c>
      <c r="AL171">
        <v>4604422</v>
      </c>
      <c r="AX171">
        <v>11</v>
      </c>
      <c r="AY171">
        <v>653538</v>
      </c>
      <c r="AZ171">
        <v>5545773</v>
      </c>
      <c r="BA171">
        <v>466.66707583650799</v>
      </c>
      <c r="BB171" t="s">
        <v>934</v>
      </c>
      <c r="BC171" t="s">
        <v>934</v>
      </c>
      <c r="BD171" t="s">
        <v>94</v>
      </c>
      <c r="BE171" t="s">
        <v>933</v>
      </c>
      <c r="BF171" t="s">
        <v>449</v>
      </c>
      <c r="BG171">
        <v>1</v>
      </c>
      <c r="BH171">
        <v>1004604943</v>
      </c>
      <c r="BI171">
        <v>1</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7.7999999999975894E-2</v>
      </c>
      <c r="CL171">
        <v>0.10999999999995699</v>
      </c>
      <c r="CM171">
        <v>0.08</v>
      </c>
      <c r="CN171">
        <v>0.08</v>
      </c>
      <c r="CO171">
        <v>0.08</v>
      </c>
      <c r="CP171">
        <v>0.08</v>
      </c>
      <c r="CQ171">
        <v>0.11</v>
      </c>
      <c r="CR171">
        <v>0.08</v>
      </c>
      <c r="CS171">
        <v>0.11</v>
      </c>
      <c r="CT171">
        <v>0.08</v>
      </c>
      <c r="CU171">
        <v>207102</v>
      </c>
      <c r="CV171">
        <v>0.08</v>
      </c>
      <c r="CW171">
        <v>1</v>
      </c>
      <c r="CX171">
        <v>0.08</v>
      </c>
      <c r="CZ171">
        <v>97</v>
      </c>
      <c r="DA171">
        <v>111</v>
      </c>
      <c r="DB171">
        <v>121</v>
      </c>
      <c r="DC171">
        <v>107</v>
      </c>
      <c r="DD171" t="s">
        <v>887</v>
      </c>
      <c r="DE171" t="s">
        <v>0</v>
      </c>
      <c r="DF171">
        <f t="shared" si="4"/>
        <v>193.14000000000024</v>
      </c>
      <c r="DG171">
        <v>169</v>
      </c>
      <c r="DH171">
        <f t="shared" si="5"/>
        <v>193.14000000000013</v>
      </c>
    </row>
    <row r="172" spans="1:112" hidden="1" x14ac:dyDescent="0.35">
      <c r="A172">
        <v>1004603316</v>
      </c>
      <c r="D172" t="s">
        <v>100</v>
      </c>
      <c r="E172" t="s">
        <v>99</v>
      </c>
      <c r="F172" t="s">
        <v>104</v>
      </c>
      <c r="G172" t="s">
        <v>103</v>
      </c>
      <c r="J172">
        <v>356539670</v>
      </c>
      <c r="AL172">
        <v>4603316</v>
      </c>
      <c r="AX172">
        <v>11</v>
      </c>
      <c r="AY172">
        <v>649912</v>
      </c>
      <c r="AZ172">
        <v>5547085</v>
      </c>
      <c r="BA172">
        <v>624.73639868473094</v>
      </c>
      <c r="BB172" t="s">
        <v>1031</v>
      </c>
      <c r="BC172" t="s">
        <v>1031</v>
      </c>
      <c r="BD172" t="s">
        <v>94</v>
      </c>
      <c r="BF172" t="s">
        <v>449</v>
      </c>
      <c r="BG172">
        <v>1</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7.6000000000092605E-2</v>
      </c>
      <c r="CM172">
        <v>0</v>
      </c>
      <c r="CN172">
        <v>0.08</v>
      </c>
      <c r="CO172">
        <v>0</v>
      </c>
      <c r="CP172">
        <v>0</v>
      </c>
      <c r="CQ172">
        <v>0.08</v>
      </c>
      <c r="CR172">
        <v>0.08</v>
      </c>
      <c r="CS172">
        <v>0.08</v>
      </c>
      <c r="CT172">
        <v>0.08</v>
      </c>
      <c r="CU172">
        <v>174402</v>
      </c>
      <c r="CV172">
        <v>0.08</v>
      </c>
      <c r="CW172">
        <v>1</v>
      </c>
      <c r="CX172">
        <v>0.08</v>
      </c>
      <c r="CZ172">
        <v>97</v>
      </c>
      <c r="DA172">
        <v>112</v>
      </c>
      <c r="DB172">
        <v>123</v>
      </c>
      <c r="DC172">
        <v>108</v>
      </c>
      <c r="DD172" t="s">
        <v>887</v>
      </c>
      <c r="DE172" t="s">
        <v>0</v>
      </c>
      <c r="DF172">
        <f t="shared" si="4"/>
        <v>193.22000000000025</v>
      </c>
      <c r="DG172">
        <v>170</v>
      </c>
      <c r="DH172">
        <f t="shared" si="5"/>
        <v>193.22000000000014</v>
      </c>
    </row>
    <row r="173" spans="1:112" s="5" customFormat="1" hidden="1" x14ac:dyDescent="0.35">
      <c r="A173" s="5">
        <v>197580</v>
      </c>
      <c r="B173" s="5">
        <v>197580</v>
      </c>
      <c r="D173" s="5" t="s">
        <v>121</v>
      </c>
      <c r="E173" s="5" t="s">
        <v>120</v>
      </c>
      <c r="F173" s="5" t="s">
        <v>104</v>
      </c>
      <c r="G173" s="5" t="s">
        <v>119</v>
      </c>
      <c r="H173" s="5" t="s">
        <v>971</v>
      </c>
      <c r="J173" s="5">
        <v>356482509</v>
      </c>
      <c r="K173" s="5" t="s">
        <v>912</v>
      </c>
      <c r="L173" s="5" t="s">
        <v>965</v>
      </c>
      <c r="M173" s="5" t="s">
        <v>39</v>
      </c>
      <c r="N173" s="5" t="s">
        <v>970</v>
      </c>
      <c r="P173" s="5" t="s">
        <v>38</v>
      </c>
      <c r="Q173" s="5" t="s">
        <v>4</v>
      </c>
      <c r="V173" s="5" t="s">
        <v>51</v>
      </c>
      <c r="AE173" s="5" t="s">
        <v>35</v>
      </c>
      <c r="AI173" s="5" t="s">
        <v>1030</v>
      </c>
      <c r="AJ173" s="5" t="s">
        <v>1029</v>
      </c>
      <c r="AK173" s="5" t="s">
        <v>1028</v>
      </c>
      <c r="AL173" s="5">
        <v>4600026</v>
      </c>
      <c r="AM173" s="5" t="s">
        <v>114</v>
      </c>
      <c r="AN173" s="5" t="s">
        <v>113</v>
      </c>
      <c r="AO173" s="5" t="s">
        <v>965</v>
      </c>
      <c r="AP173" s="5" t="s">
        <v>963</v>
      </c>
      <c r="AQ173" s="5" t="s">
        <v>1027</v>
      </c>
      <c r="AR173" s="6">
        <v>45517</v>
      </c>
      <c r="AX173" s="5">
        <v>11</v>
      </c>
      <c r="AY173" s="5">
        <v>642913</v>
      </c>
      <c r="AZ173" s="5">
        <v>5490631</v>
      </c>
      <c r="BA173" s="5">
        <v>2650</v>
      </c>
      <c r="BB173" s="5" t="s">
        <v>914</v>
      </c>
      <c r="BC173" s="5" t="s">
        <v>913</v>
      </c>
      <c r="BD173" s="5" t="s">
        <v>94</v>
      </c>
      <c r="BE173" s="5" t="s">
        <v>912</v>
      </c>
      <c r="BF173" s="5" t="s">
        <v>962</v>
      </c>
      <c r="BG173" s="5">
        <v>2</v>
      </c>
      <c r="BH173" s="5">
        <v>199906</v>
      </c>
      <c r="BI173" s="5">
        <v>1</v>
      </c>
      <c r="BM173" s="5">
        <v>0</v>
      </c>
      <c r="BN173" s="5">
        <v>0</v>
      </c>
      <c r="BO173" s="5">
        <v>0</v>
      </c>
      <c r="BP173" s="5">
        <v>0</v>
      </c>
      <c r="BQ173" s="5">
        <v>0</v>
      </c>
      <c r="BR173" s="5">
        <v>0</v>
      </c>
      <c r="BS173" s="5">
        <v>0</v>
      </c>
      <c r="BT173" s="5">
        <v>0</v>
      </c>
      <c r="BU173" s="5">
        <v>0</v>
      </c>
      <c r="BV173" s="5">
        <v>0</v>
      </c>
      <c r="BW173" s="5">
        <v>0</v>
      </c>
      <c r="BX173" s="5">
        <v>0</v>
      </c>
      <c r="BY173" s="5">
        <v>0</v>
      </c>
      <c r="BZ173" s="5">
        <v>0</v>
      </c>
      <c r="CA173" s="5">
        <v>0</v>
      </c>
      <c r="CB173" s="5">
        <v>0</v>
      </c>
      <c r="CC173" s="5">
        <v>0</v>
      </c>
      <c r="CD173" s="5">
        <v>0</v>
      </c>
      <c r="CE173" s="5">
        <v>0</v>
      </c>
      <c r="CF173" s="5">
        <v>0</v>
      </c>
      <c r="CG173" s="5">
        <v>0</v>
      </c>
      <c r="CH173" s="5">
        <v>0</v>
      </c>
      <c r="CI173" s="5">
        <v>0</v>
      </c>
      <c r="CJ173" s="5">
        <v>0</v>
      </c>
      <c r="CK173" s="5">
        <v>0</v>
      </c>
      <c r="CL173" s="5">
        <v>0.33799999999999297</v>
      </c>
      <c r="CM173" s="5">
        <v>0</v>
      </c>
      <c r="CN173" s="5">
        <v>0.21</v>
      </c>
      <c r="CO173" s="5">
        <v>0</v>
      </c>
      <c r="CP173" s="5">
        <v>0</v>
      </c>
      <c r="CQ173" s="5">
        <v>0.34</v>
      </c>
      <c r="CR173" s="5">
        <v>0.21</v>
      </c>
      <c r="CS173" s="5">
        <v>0.34</v>
      </c>
      <c r="CT173" s="5">
        <v>0.21</v>
      </c>
      <c r="CU173" s="5">
        <v>405483</v>
      </c>
      <c r="CV173" s="5">
        <v>0.21</v>
      </c>
      <c r="CW173" s="5">
        <v>1</v>
      </c>
      <c r="CX173" s="5">
        <v>0.21</v>
      </c>
      <c r="CY173" s="5" t="s">
        <v>961</v>
      </c>
      <c r="CZ173" s="5">
        <v>79</v>
      </c>
      <c r="DA173" s="5">
        <v>144</v>
      </c>
      <c r="DB173" s="5">
        <v>91</v>
      </c>
      <c r="DC173" s="5">
        <v>109</v>
      </c>
      <c r="DD173" s="5" t="s">
        <v>887</v>
      </c>
      <c r="DE173" s="5" t="s">
        <v>0</v>
      </c>
      <c r="DF173" s="5">
        <f t="shared" si="4"/>
        <v>193.43000000000026</v>
      </c>
      <c r="DG173" s="5">
        <v>171</v>
      </c>
      <c r="DH173" s="5">
        <f t="shared" si="5"/>
        <v>193.43000000000015</v>
      </c>
    </row>
    <row r="174" spans="1:112" hidden="1" x14ac:dyDescent="0.35">
      <c r="A174">
        <v>1004600118</v>
      </c>
      <c r="D174" t="s">
        <v>100</v>
      </c>
      <c r="E174" t="s">
        <v>99</v>
      </c>
      <c r="F174" t="s">
        <v>104</v>
      </c>
      <c r="G174" t="s">
        <v>103</v>
      </c>
      <c r="H174" t="s">
        <v>602</v>
      </c>
      <c r="J174">
        <v>356486629</v>
      </c>
      <c r="AL174">
        <v>4600118</v>
      </c>
      <c r="AX174">
        <v>11</v>
      </c>
      <c r="AY174">
        <v>660939</v>
      </c>
      <c r="AZ174">
        <v>5493256</v>
      </c>
      <c r="BA174">
        <v>483.84295987102598</v>
      </c>
      <c r="BB174" t="s">
        <v>768</v>
      </c>
      <c r="BC174" t="s">
        <v>768</v>
      </c>
      <c r="BD174" t="s">
        <v>94</v>
      </c>
      <c r="BF174" t="s">
        <v>449</v>
      </c>
      <c r="BG174">
        <v>1</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5.5992204453929599E-2</v>
      </c>
      <c r="CM174">
        <v>0</v>
      </c>
      <c r="CN174">
        <v>0.06</v>
      </c>
      <c r="CO174">
        <v>0</v>
      </c>
      <c r="CP174">
        <v>0</v>
      </c>
      <c r="CQ174">
        <v>0.06</v>
      </c>
      <c r="CR174">
        <v>0.06</v>
      </c>
      <c r="CS174">
        <v>0.06</v>
      </c>
      <c r="CT174">
        <v>0.06</v>
      </c>
      <c r="CU174">
        <v>34882</v>
      </c>
      <c r="CV174">
        <v>0.06</v>
      </c>
      <c r="CW174">
        <v>1</v>
      </c>
      <c r="CX174">
        <v>0.06</v>
      </c>
      <c r="CZ174">
        <v>98</v>
      </c>
      <c r="DA174">
        <v>113</v>
      </c>
      <c r="DB174">
        <v>126</v>
      </c>
      <c r="DC174">
        <v>110</v>
      </c>
      <c r="DD174" t="s">
        <v>887</v>
      </c>
      <c r="DE174" t="s">
        <v>0</v>
      </c>
      <c r="DF174">
        <f t="shared" si="4"/>
        <v>193.49000000000026</v>
      </c>
      <c r="DG174">
        <v>172</v>
      </c>
      <c r="DH174">
        <f t="shared" si="5"/>
        <v>193.49000000000015</v>
      </c>
    </row>
    <row r="175" spans="1:112" s="5" customFormat="1" hidden="1" x14ac:dyDescent="0.35">
      <c r="A175" s="5">
        <v>197572</v>
      </c>
      <c r="B175" s="5">
        <v>197572</v>
      </c>
      <c r="D175" s="5" t="s">
        <v>121</v>
      </c>
      <c r="E175" s="5" t="s">
        <v>120</v>
      </c>
      <c r="F175" s="5" t="s">
        <v>104</v>
      </c>
      <c r="G175" s="5" t="s">
        <v>119</v>
      </c>
      <c r="H175" s="5" t="s">
        <v>1026</v>
      </c>
      <c r="J175" s="5">
        <v>356557060</v>
      </c>
      <c r="K175" s="5" t="s">
        <v>19</v>
      </c>
      <c r="L175" s="5" t="s">
        <v>1025</v>
      </c>
      <c r="M175" s="5" t="s">
        <v>39</v>
      </c>
      <c r="P175" s="5" t="s">
        <v>38</v>
      </c>
      <c r="Q175" s="5" t="s">
        <v>4</v>
      </c>
      <c r="V175" s="5" t="s">
        <v>51</v>
      </c>
      <c r="AE175" s="5" t="s">
        <v>35</v>
      </c>
      <c r="AI175" s="5" t="s">
        <v>1024</v>
      </c>
      <c r="AL175" s="5">
        <v>4600010</v>
      </c>
      <c r="AM175" s="5" t="s">
        <v>114</v>
      </c>
      <c r="AN175" s="5" t="s">
        <v>113</v>
      </c>
      <c r="AO175" s="5" t="s">
        <v>176</v>
      </c>
      <c r="AP175" s="5" t="s">
        <v>19</v>
      </c>
      <c r="AQ175" s="5" t="s">
        <v>1023</v>
      </c>
      <c r="AR175" s="6">
        <v>44097</v>
      </c>
      <c r="AX175" s="5">
        <v>11</v>
      </c>
      <c r="AY175" s="5">
        <v>641154</v>
      </c>
      <c r="AZ175" s="5">
        <v>5479338</v>
      </c>
      <c r="BA175" s="5">
        <v>2100</v>
      </c>
      <c r="BB175" s="5" t="s">
        <v>573</v>
      </c>
      <c r="BC175" s="5" t="s">
        <v>1019</v>
      </c>
      <c r="BD175" s="5" t="s">
        <v>94</v>
      </c>
      <c r="BF175" s="5" t="s">
        <v>449</v>
      </c>
      <c r="BG175" s="5">
        <v>1</v>
      </c>
      <c r="BH175" s="5">
        <v>197571</v>
      </c>
      <c r="BI175" s="5">
        <v>1</v>
      </c>
      <c r="BM175" s="5">
        <v>0</v>
      </c>
      <c r="BN175" s="5">
        <v>0</v>
      </c>
      <c r="BO175" s="5">
        <v>0</v>
      </c>
      <c r="BP175" s="5">
        <v>0</v>
      </c>
      <c r="BQ175" s="5">
        <v>0</v>
      </c>
      <c r="BR175" s="5">
        <v>0</v>
      </c>
      <c r="BS175" s="5">
        <v>0</v>
      </c>
      <c r="BT175" s="5">
        <v>0</v>
      </c>
      <c r="BU175" s="5">
        <v>0</v>
      </c>
      <c r="BV175" s="5">
        <v>0</v>
      </c>
      <c r="BW175" s="5">
        <v>0</v>
      </c>
      <c r="BX175" s="5">
        <v>0</v>
      </c>
      <c r="BY175" s="5">
        <v>0</v>
      </c>
      <c r="BZ175" s="5">
        <v>0</v>
      </c>
      <c r="CA175" s="5">
        <v>0</v>
      </c>
      <c r="CB175" s="5">
        <v>0</v>
      </c>
      <c r="CC175" s="5">
        <v>0</v>
      </c>
      <c r="CD175" s="5">
        <v>0</v>
      </c>
      <c r="CE175" s="5">
        <v>0</v>
      </c>
      <c r="CF175" s="5">
        <v>0</v>
      </c>
      <c r="CG175" s="5">
        <v>0</v>
      </c>
      <c r="CH175" s="5">
        <v>0</v>
      </c>
      <c r="CI175" s="5">
        <v>0</v>
      </c>
      <c r="CJ175" s="5">
        <v>0</v>
      </c>
      <c r="CK175" s="5">
        <v>0</v>
      </c>
      <c r="CL175" s="5">
        <v>6.0999999999990902E-2</v>
      </c>
      <c r="CM175" s="5">
        <v>0</v>
      </c>
      <c r="CN175" s="5">
        <v>0.03</v>
      </c>
      <c r="CO175" s="5">
        <v>0</v>
      </c>
      <c r="CP175" s="5">
        <v>0</v>
      </c>
      <c r="CQ175" s="5">
        <v>0.06</v>
      </c>
      <c r="CR175" s="5">
        <v>0.03</v>
      </c>
      <c r="CS175" s="5">
        <v>0.06</v>
      </c>
      <c r="CT175" s="5">
        <v>0.03</v>
      </c>
      <c r="CU175" s="5">
        <v>394582</v>
      </c>
      <c r="CV175" s="5">
        <v>0.06</v>
      </c>
      <c r="CW175" s="5">
        <v>2</v>
      </c>
      <c r="CX175" s="5">
        <v>0.03</v>
      </c>
      <c r="CZ175" s="5">
        <v>100</v>
      </c>
      <c r="DA175" s="5">
        <v>115</v>
      </c>
      <c r="DB175" s="5">
        <v>125</v>
      </c>
      <c r="DC175" s="5">
        <v>111</v>
      </c>
      <c r="DD175" s="5" t="s">
        <v>887</v>
      </c>
      <c r="DE175" s="5" t="s">
        <v>0</v>
      </c>
      <c r="DF175" s="5">
        <f t="shared" si="4"/>
        <v>193.52000000000027</v>
      </c>
      <c r="DG175" s="5">
        <v>173</v>
      </c>
      <c r="DH175" s="5">
        <f t="shared" si="5"/>
        <v>193.52000000000015</v>
      </c>
    </row>
    <row r="176" spans="1:112" s="5" customFormat="1" hidden="1" x14ac:dyDescent="0.35">
      <c r="A176" s="5">
        <v>197571</v>
      </c>
      <c r="B176" s="5">
        <v>197571</v>
      </c>
      <c r="D176" s="5" t="s">
        <v>121</v>
      </c>
      <c r="E176" s="5" t="s">
        <v>120</v>
      </c>
      <c r="F176" s="5" t="s">
        <v>104</v>
      </c>
      <c r="G176" s="5" t="s">
        <v>119</v>
      </c>
      <c r="H176" s="5" t="s">
        <v>162</v>
      </c>
      <c r="J176" s="5">
        <v>356557060</v>
      </c>
      <c r="K176" s="5" t="s">
        <v>19</v>
      </c>
      <c r="L176" s="5" t="s">
        <v>159</v>
      </c>
      <c r="M176" s="5" t="s">
        <v>39</v>
      </c>
      <c r="P176" s="5" t="s">
        <v>38</v>
      </c>
      <c r="Q176" s="5" t="s">
        <v>4</v>
      </c>
      <c r="V176" s="5" t="s">
        <v>51</v>
      </c>
      <c r="AE176" s="5" t="s">
        <v>35</v>
      </c>
      <c r="AI176" s="5" t="s">
        <v>1022</v>
      </c>
      <c r="AK176" s="5" t="s">
        <v>1021</v>
      </c>
      <c r="AL176" s="5">
        <v>4600316</v>
      </c>
      <c r="AM176" s="5" t="s">
        <v>114</v>
      </c>
      <c r="AN176" s="5" t="s">
        <v>113</v>
      </c>
      <c r="AO176" s="5" t="s">
        <v>159</v>
      </c>
      <c r="AP176" s="5" t="s">
        <v>19</v>
      </c>
      <c r="AQ176" s="5" t="s">
        <v>1020</v>
      </c>
      <c r="AR176" s="6">
        <v>44097</v>
      </c>
      <c r="AX176" s="5">
        <v>11</v>
      </c>
      <c r="AY176" s="5">
        <v>641178</v>
      </c>
      <c r="AZ176" s="5">
        <v>5479360</v>
      </c>
      <c r="BA176" s="5">
        <v>2133</v>
      </c>
      <c r="BB176" s="5" t="s">
        <v>573</v>
      </c>
      <c r="BC176" s="5" t="s">
        <v>1019</v>
      </c>
      <c r="BD176" s="5" t="s">
        <v>94</v>
      </c>
      <c r="BF176" s="5" t="s">
        <v>1018</v>
      </c>
      <c r="BG176" s="5">
        <v>2</v>
      </c>
      <c r="BM176" s="5">
        <v>0</v>
      </c>
      <c r="BN176" s="5">
        <v>0</v>
      </c>
      <c r="BO176" s="5">
        <v>0</v>
      </c>
      <c r="BP176" s="5">
        <v>0</v>
      </c>
      <c r="BQ176" s="5">
        <v>0</v>
      </c>
      <c r="BR176" s="5">
        <v>0</v>
      </c>
      <c r="BS176" s="5">
        <v>0</v>
      </c>
      <c r="BT176" s="5">
        <v>0</v>
      </c>
      <c r="BU176" s="5">
        <v>0</v>
      </c>
      <c r="BV176" s="5">
        <v>0</v>
      </c>
      <c r="BW176" s="5">
        <v>0</v>
      </c>
      <c r="BX176" s="5">
        <v>0</v>
      </c>
      <c r="BY176" s="5">
        <v>0</v>
      </c>
      <c r="BZ176" s="5">
        <v>0</v>
      </c>
      <c r="CA176" s="5">
        <v>0</v>
      </c>
      <c r="CB176" s="5">
        <v>0</v>
      </c>
      <c r="CC176" s="5">
        <v>0</v>
      </c>
      <c r="CD176" s="5">
        <v>0</v>
      </c>
      <c r="CE176" s="5">
        <v>0</v>
      </c>
      <c r="CF176" s="5">
        <v>0</v>
      </c>
      <c r="CG176" s="5">
        <v>0</v>
      </c>
      <c r="CH176" s="5">
        <v>0</v>
      </c>
      <c r="CI176" s="5">
        <v>0</v>
      </c>
      <c r="CJ176" s="5">
        <v>0</v>
      </c>
      <c r="CK176" s="5">
        <v>0</v>
      </c>
      <c r="CL176" s="5">
        <v>2.7999999999983E-2</v>
      </c>
      <c r="CM176" s="5">
        <v>0</v>
      </c>
      <c r="CN176" s="5">
        <v>0.03</v>
      </c>
      <c r="CO176" s="5">
        <v>0</v>
      </c>
      <c r="CP176" s="5">
        <v>0</v>
      </c>
      <c r="CQ176" s="5">
        <v>0.03</v>
      </c>
      <c r="CR176" s="5">
        <v>0.03</v>
      </c>
      <c r="CS176" s="5">
        <v>0.03</v>
      </c>
      <c r="CT176" s="5">
        <v>0.03</v>
      </c>
      <c r="CU176" s="5">
        <v>394582</v>
      </c>
      <c r="CV176" s="5">
        <v>0.06</v>
      </c>
      <c r="CW176" s="5">
        <v>2</v>
      </c>
      <c r="CX176" s="5">
        <v>0.03</v>
      </c>
      <c r="CZ176" s="5">
        <v>100</v>
      </c>
      <c r="DA176" s="5">
        <v>115</v>
      </c>
      <c r="DB176" s="5">
        <v>125</v>
      </c>
      <c r="DC176" s="5">
        <v>111</v>
      </c>
      <c r="DD176" s="5" t="s">
        <v>887</v>
      </c>
      <c r="DE176" s="5" t="s">
        <v>0</v>
      </c>
      <c r="DF176" s="5">
        <f t="shared" si="4"/>
        <v>193.55000000000027</v>
      </c>
      <c r="DG176" s="5">
        <v>174</v>
      </c>
      <c r="DH176" s="5">
        <f t="shared" si="5"/>
        <v>193.55000000000015</v>
      </c>
    </row>
    <row r="177" spans="1:112" hidden="1" x14ac:dyDescent="0.35">
      <c r="A177">
        <v>1024735335</v>
      </c>
      <c r="D177" t="s">
        <v>100</v>
      </c>
      <c r="E177" t="s">
        <v>99</v>
      </c>
      <c r="F177" t="s">
        <v>104</v>
      </c>
      <c r="G177" t="s">
        <v>103</v>
      </c>
      <c r="J177">
        <v>356533648</v>
      </c>
      <c r="AL177">
        <v>24735335</v>
      </c>
      <c r="AX177">
        <v>11</v>
      </c>
      <c r="AY177">
        <v>649459</v>
      </c>
      <c r="AZ177">
        <v>5577001</v>
      </c>
      <c r="BA177">
        <v>1132.8368479759099</v>
      </c>
      <c r="BB177" t="s">
        <v>1017</v>
      </c>
      <c r="BC177" t="s">
        <v>1017</v>
      </c>
      <c r="BD177" t="s">
        <v>94</v>
      </c>
      <c r="BF177" t="s">
        <v>449</v>
      </c>
      <c r="BG177">
        <v>1</v>
      </c>
      <c r="BH177">
        <v>1004603451</v>
      </c>
      <c r="BI177">
        <v>1</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4.88255411782859E-2</v>
      </c>
      <c r="CM177">
        <v>0</v>
      </c>
      <c r="CN177">
        <v>0.01</v>
      </c>
      <c r="CO177">
        <v>0</v>
      </c>
      <c r="CP177">
        <v>0</v>
      </c>
      <c r="CQ177">
        <v>0.05</v>
      </c>
      <c r="CR177">
        <v>0.02</v>
      </c>
      <c r="CS177">
        <v>0.05</v>
      </c>
      <c r="CT177">
        <v>0.02</v>
      </c>
      <c r="CU177">
        <v>176582</v>
      </c>
      <c r="CV177">
        <v>0.05</v>
      </c>
      <c r="CW177">
        <v>2</v>
      </c>
      <c r="CX177">
        <v>2.5000000000000001E-2</v>
      </c>
      <c r="CZ177">
        <v>101</v>
      </c>
      <c r="DA177">
        <v>118</v>
      </c>
      <c r="DB177">
        <v>127</v>
      </c>
      <c r="DC177">
        <v>112</v>
      </c>
      <c r="DD177" t="s">
        <v>887</v>
      </c>
      <c r="DE177" t="s">
        <v>0</v>
      </c>
      <c r="DF177">
        <f t="shared" si="4"/>
        <v>193.57500000000027</v>
      </c>
      <c r="DG177">
        <v>175</v>
      </c>
      <c r="DH177">
        <f t="shared" si="5"/>
        <v>193.57000000000016</v>
      </c>
    </row>
    <row r="178" spans="1:112" hidden="1" x14ac:dyDescent="0.35">
      <c r="A178">
        <v>1004603451</v>
      </c>
      <c r="D178" t="s">
        <v>100</v>
      </c>
      <c r="E178" t="s">
        <v>99</v>
      </c>
      <c r="F178" t="s">
        <v>104</v>
      </c>
      <c r="G178" t="s">
        <v>103</v>
      </c>
      <c r="J178">
        <v>356533648</v>
      </c>
      <c r="AL178">
        <v>4603451</v>
      </c>
      <c r="AX178">
        <v>11</v>
      </c>
      <c r="AY178">
        <v>649472</v>
      </c>
      <c r="AZ178">
        <v>5576994</v>
      </c>
      <c r="BA178">
        <v>1147.57873077356</v>
      </c>
      <c r="BB178" t="s">
        <v>1017</v>
      </c>
      <c r="BC178" t="s">
        <v>1017</v>
      </c>
      <c r="BD178" t="s">
        <v>94</v>
      </c>
      <c r="BF178" t="s">
        <v>1016</v>
      </c>
      <c r="BG178">
        <v>2</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3.3825541178301097E-2</v>
      </c>
      <c r="CM178">
        <v>0</v>
      </c>
      <c r="CN178">
        <v>0.03</v>
      </c>
      <c r="CO178">
        <v>0</v>
      </c>
      <c r="CP178">
        <v>0</v>
      </c>
      <c r="CQ178">
        <v>0.03</v>
      </c>
      <c r="CR178">
        <v>0.03</v>
      </c>
      <c r="CS178">
        <v>0.03</v>
      </c>
      <c r="CT178">
        <v>0.03</v>
      </c>
      <c r="CU178">
        <v>176582</v>
      </c>
      <c r="CV178">
        <v>0.05</v>
      </c>
      <c r="CW178">
        <v>2</v>
      </c>
      <c r="CX178">
        <v>2.5000000000000001E-2</v>
      </c>
      <c r="CZ178">
        <v>101</v>
      </c>
      <c r="DA178">
        <v>118</v>
      </c>
      <c r="DB178">
        <v>127</v>
      </c>
      <c r="DC178">
        <v>112</v>
      </c>
      <c r="DD178" t="s">
        <v>887</v>
      </c>
      <c r="DE178" t="s">
        <v>0</v>
      </c>
      <c r="DF178">
        <f t="shared" si="4"/>
        <v>193.60000000000028</v>
      </c>
      <c r="DG178">
        <v>176</v>
      </c>
      <c r="DH178">
        <f t="shared" si="5"/>
        <v>193.60000000000016</v>
      </c>
    </row>
    <row r="179" spans="1:112" s="5" customFormat="1" hidden="1" x14ac:dyDescent="0.35">
      <c r="A179" s="5">
        <v>50181</v>
      </c>
      <c r="B179" s="5">
        <v>50181</v>
      </c>
      <c r="D179" s="5" t="s">
        <v>121</v>
      </c>
      <c r="E179" s="5" t="s">
        <v>99</v>
      </c>
      <c r="F179" s="5" t="s">
        <v>104</v>
      </c>
      <c r="G179" s="5" t="s">
        <v>119</v>
      </c>
      <c r="H179" s="5" t="s">
        <v>886</v>
      </c>
      <c r="J179" s="5">
        <v>356568403</v>
      </c>
      <c r="K179" s="5" t="s">
        <v>74</v>
      </c>
      <c r="L179" s="5" t="s">
        <v>1013</v>
      </c>
      <c r="M179" s="5" t="s">
        <v>39</v>
      </c>
      <c r="P179" s="5" t="s">
        <v>38</v>
      </c>
      <c r="Q179" s="5" t="s">
        <v>37</v>
      </c>
      <c r="V179" s="5" t="s">
        <v>36</v>
      </c>
      <c r="AE179" s="5" t="s">
        <v>35</v>
      </c>
      <c r="AI179" s="5" t="s">
        <v>1015</v>
      </c>
      <c r="AK179" s="5" t="s">
        <v>1014</v>
      </c>
      <c r="AL179" s="5">
        <v>4606365</v>
      </c>
      <c r="AM179" s="5" t="s">
        <v>782</v>
      </c>
      <c r="AN179" s="5" t="s">
        <v>113</v>
      </c>
      <c r="AO179" s="5" t="s">
        <v>1013</v>
      </c>
      <c r="AP179" s="5" t="s">
        <v>74</v>
      </c>
      <c r="AQ179" s="5" t="s">
        <v>1012</v>
      </c>
      <c r="AR179" s="6">
        <v>44119</v>
      </c>
      <c r="AX179" s="5">
        <v>11</v>
      </c>
      <c r="AY179" s="5">
        <v>648277</v>
      </c>
      <c r="AZ179" s="5">
        <v>5468171</v>
      </c>
      <c r="BA179" s="5">
        <v>3201</v>
      </c>
      <c r="BB179" s="5" t="s">
        <v>316</v>
      </c>
      <c r="BC179" s="5" t="s">
        <v>315</v>
      </c>
      <c r="BD179" s="5" t="s">
        <v>94</v>
      </c>
      <c r="BF179" s="5" t="s">
        <v>1011</v>
      </c>
      <c r="BG179" s="5">
        <v>2</v>
      </c>
      <c r="BM179" s="5">
        <v>0</v>
      </c>
      <c r="BN179" s="5">
        <v>0</v>
      </c>
      <c r="BO179" s="5">
        <v>0</v>
      </c>
      <c r="BP179" s="5">
        <v>0</v>
      </c>
      <c r="BQ179" s="5">
        <v>0</v>
      </c>
      <c r="BR179" s="5">
        <v>0</v>
      </c>
      <c r="BS179" s="5">
        <v>0</v>
      </c>
      <c r="BT179" s="5">
        <v>0</v>
      </c>
      <c r="BU179" s="5">
        <v>0</v>
      </c>
      <c r="BV179" s="5">
        <v>0</v>
      </c>
      <c r="BW179" s="5">
        <v>0</v>
      </c>
      <c r="BX179" s="5">
        <v>0</v>
      </c>
      <c r="BY179" s="5">
        <v>0</v>
      </c>
      <c r="BZ179" s="5">
        <v>0</v>
      </c>
      <c r="CA179" s="5">
        <v>0</v>
      </c>
      <c r="CB179" s="5">
        <v>0</v>
      </c>
      <c r="CC179" s="5">
        <v>0</v>
      </c>
      <c r="CD179" s="5">
        <v>0</v>
      </c>
      <c r="CE179" s="5">
        <v>0</v>
      </c>
      <c r="CF179" s="5">
        <v>0</v>
      </c>
      <c r="CG179" s="5">
        <v>0</v>
      </c>
      <c r="CH179" s="5">
        <v>0</v>
      </c>
      <c r="CI179" s="5">
        <v>0</v>
      </c>
      <c r="CJ179" s="5">
        <v>0</v>
      </c>
      <c r="CK179" s="5">
        <v>0</v>
      </c>
      <c r="CL179" s="5">
        <v>0.224000000000143</v>
      </c>
      <c r="CM179" s="5">
        <v>0</v>
      </c>
      <c r="CN179" s="5">
        <v>0.22</v>
      </c>
      <c r="CO179" s="5">
        <v>0</v>
      </c>
      <c r="CP179" s="5">
        <v>0</v>
      </c>
      <c r="CQ179" s="5">
        <v>0.22</v>
      </c>
      <c r="CR179" s="5">
        <v>0.22</v>
      </c>
      <c r="CS179" s="5">
        <v>0.22</v>
      </c>
      <c r="CT179" s="5">
        <v>0.22</v>
      </c>
      <c r="CU179" s="5">
        <v>429463</v>
      </c>
      <c r="CV179" s="5">
        <v>0.22</v>
      </c>
      <c r="CW179" s="5">
        <v>1</v>
      </c>
      <c r="CX179" s="5">
        <v>0.22</v>
      </c>
      <c r="CY179" s="5" t="s">
        <v>1010</v>
      </c>
      <c r="CZ179" s="5">
        <v>77</v>
      </c>
      <c r="DA179" s="5">
        <v>142</v>
      </c>
      <c r="DB179" s="5">
        <v>103</v>
      </c>
      <c r="DC179" s="5">
        <v>113</v>
      </c>
      <c r="DD179" s="5" t="s">
        <v>887</v>
      </c>
      <c r="DE179" s="5" t="s">
        <v>0</v>
      </c>
      <c r="DF179" s="5">
        <f t="shared" si="4"/>
        <v>193.82000000000028</v>
      </c>
      <c r="DG179" s="5">
        <v>177</v>
      </c>
      <c r="DH179" s="5">
        <f t="shared" si="5"/>
        <v>193.82000000000016</v>
      </c>
    </row>
    <row r="180" spans="1:112" hidden="1" x14ac:dyDescent="0.35">
      <c r="A180">
        <v>1004600352</v>
      </c>
      <c r="D180" t="s">
        <v>100</v>
      </c>
      <c r="E180" t="s">
        <v>120</v>
      </c>
      <c r="F180" t="s">
        <v>104</v>
      </c>
      <c r="G180" t="s">
        <v>103</v>
      </c>
      <c r="H180" t="s">
        <v>762</v>
      </c>
      <c r="J180">
        <v>356567266</v>
      </c>
      <c r="AL180">
        <v>4600352</v>
      </c>
      <c r="AX180">
        <v>11</v>
      </c>
      <c r="AY180">
        <v>659690</v>
      </c>
      <c r="AZ180">
        <v>5496921</v>
      </c>
      <c r="BA180">
        <v>260.93357551369797</v>
      </c>
      <c r="BB180" t="s">
        <v>1009</v>
      </c>
      <c r="BC180" t="s">
        <v>1009</v>
      </c>
      <c r="BD180" t="s">
        <v>94</v>
      </c>
      <c r="BF180" t="s">
        <v>449</v>
      </c>
      <c r="BG180">
        <v>1</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3.00000000001239E-2</v>
      </c>
      <c r="CM180">
        <v>0</v>
      </c>
      <c r="CN180">
        <v>0.03</v>
      </c>
      <c r="CO180">
        <v>0</v>
      </c>
      <c r="CP180">
        <v>0</v>
      </c>
      <c r="CQ180">
        <v>0.03</v>
      </c>
      <c r="CR180">
        <v>0.03</v>
      </c>
      <c r="CS180">
        <v>0.03</v>
      </c>
      <c r="CT180">
        <v>0.03</v>
      </c>
      <c r="CU180">
        <v>85022</v>
      </c>
      <c r="CV180">
        <v>0.03</v>
      </c>
      <c r="CW180">
        <v>1</v>
      </c>
      <c r="CX180">
        <v>0.03</v>
      </c>
      <c r="CZ180">
        <v>100</v>
      </c>
      <c r="DA180">
        <v>114</v>
      </c>
      <c r="DB180">
        <v>132</v>
      </c>
      <c r="DC180">
        <v>114</v>
      </c>
      <c r="DD180" t="s">
        <v>887</v>
      </c>
      <c r="DE180" t="s">
        <v>0</v>
      </c>
      <c r="DF180">
        <f t="shared" si="4"/>
        <v>193.85000000000028</v>
      </c>
      <c r="DG180">
        <v>178</v>
      </c>
      <c r="DH180">
        <f t="shared" si="5"/>
        <v>193.85000000000016</v>
      </c>
    </row>
    <row r="181" spans="1:112" hidden="1" x14ac:dyDescent="0.35">
      <c r="A181">
        <v>1004601583</v>
      </c>
      <c r="D181" t="s">
        <v>100</v>
      </c>
      <c r="E181" t="s">
        <v>99</v>
      </c>
      <c r="F181" t="s">
        <v>104</v>
      </c>
      <c r="G181" t="s">
        <v>103</v>
      </c>
      <c r="J181">
        <v>356564632</v>
      </c>
      <c r="AL181">
        <v>4601583</v>
      </c>
      <c r="AX181">
        <v>11</v>
      </c>
      <c r="AY181">
        <v>641509</v>
      </c>
      <c r="AZ181">
        <v>5477759</v>
      </c>
      <c r="BA181">
        <v>88.699551354974304</v>
      </c>
      <c r="BB181" t="s">
        <v>572</v>
      </c>
      <c r="BC181" t="s">
        <v>572</v>
      </c>
      <c r="BD181" t="s">
        <v>94</v>
      </c>
      <c r="BF181" t="s">
        <v>449</v>
      </c>
      <c r="BG181">
        <v>1</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2.9000000000084701E-2</v>
      </c>
      <c r="CM181">
        <v>0</v>
      </c>
      <c r="CN181">
        <v>0.03</v>
      </c>
      <c r="CO181">
        <v>0</v>
      </c>
      <c r="CP181">
        <v>0</v>
      </c>
      <c r="CQ181">
        <v>0.03</v>
      </c>
      <c r="CR181">
        <v>0.03</v>
      </c>
      <c r="CS181">
        <v>0.03</v>
      </c>
      <c r="CT181">
        <v>0.03</v>
      </c>
      <c r="CU181">
        <v>132982</v>
      </c>
      <c r="CV181">
        <v>0.03</v>
      </c>
      <c r="CW181">
        <v>1</v>
      </c>
      <c r="CX181">
        <v>0.03</v>
      </c>
      <c r="CZ181">
        <v>100</v>
      </c>
      <c r="DA181">
        <v>116</v>
      </c>
      <c r="DB181">
        <v>131</v>
      </c>
      <c r="DC181">
        <v>115</v>
      </c>
      <c r="DD181" t="s">
        <v>887</v>
      </c>
      <c r="DE181" t="s">
        <v>0</v>
      </c>
      <c r="DF181">
        <f t="shared" si="4"/>
        <v>193.88000000000028</v>
      </c>
      <c r="DG181">
        <v>179</v>
      </c>
      <c r="DH181">
        <f t="shared" si="5"/>
        <v>193.88000000000017</v>
      </c>
    </row>
    <row r="182" spans="1:112" s="5" customFormat="1" hidden="1" x14ac:dyDescent="0.35">
      <c r="A182" s="5">
        <v>197828</v>
      </c>
      <c r="B182" s="5">
        <v>197828</v>
      </c>
      <c r="D182" s="5" t="s">
        <v>121</v>
      </c>
      <c r="E182" s="5" t="s">
        <v>99</v>
      </c>
      <c r="F182" s="5" t="s">
        <v>104</v>
      </c>
      <c r="G182" s="5" t="s">
        <v>119</v>
      </c>
      <c r="H182" s="5" t="s">
        <v>409</v>
      </c>
      <c r="J182" s="5">
        <v>356550223</v>
      </c>
      <c r="K182" s="5" t="s">
        <v>19</v>
      </c>
      <c r="L182" s="5" t="s">
        <v>412</v>
      </c>
      <c r="M182" s="5" t="s">
        <v>39</v>
      </c>
      <c r="P182" s="5" t="s">
        <v>38</v>
      </c>
      <c r="Q182" s="5" t="s">
        <v>4</v>
      </c>
      <c r="V182" s="5" t="s">
        <v>51</v>
      </c>
      <c r="AE182" s="5" t="s">
        <v>35</v>
      </c>
      <c r="AI182" s="5" t="s">
        <v>1008</v>
      </c>
      <c r="AK182" s="5" t="s">
        <v>624</v>
      </c>
      <c r="AL182" s="5">
        <v>4605671</v>
      </c>
      <c r="AM182" s="5" t="s">
        <v>114</v>
      </c>
      <c r="AN182" s="5" t="s">
        <v>113</v>
      </c>
      <c r="AO182" s="5" t="s">
        <v>660</v>
      </c>
      <c r="AP182" s="5" t="s">
        <v>19</v>
      </c>
      <c r="AQ182" s="5" t="s">
        <v>1007</v>
      </c>
      <c r="AR182" s="6">
        <v>44483</v>
      </c>
      <c r="AX182" s="5">
        <v>11</v>
      </c>
      <c r="AY182" s="5">
        <v>647549</v>
      </c>
      <c r="AZ182" s="5">
        <v>5574966</v>
      </c>
      <c r="BA182" s="5">
        <v>3214</v>
      </c>
      <c r="BB182" s="5" t="s">
        <v>1006</v>
      </c>
      <c r="BC182" s="5" t="s">
        <v>622</v>
      </c>
      <c r="BD182" s="5" t="s">
        <v>94</v>
      </c>
      <c r="BF182" s="5" t="s">
        <v>449</v>
      </c>
      <c r="BG182" s="5">
        <v>1</v>
      </c>
      <c r="BM182" s="5">
        <v>0</v>
      </c>
      <c r="BN182" s="5">
        <v>0</v>
      </c>
      <c r="BO182" s="5">
        <v>0</v>
      </c>
      <c r="BP182" s="5">
        <v>0</v>
      </c>
      <c r="BQ182" s="5">
        <v>0</v>
      </c>
      <c r="BR182" s="5">
        <v>0</v>
      </c>
      <c r="BS182" s="5">
        <v>0</v>
      </c>
      <c r="BT182" s="5">
        <v>0</v>
      </c>
      <c r="BU182" s="5">
        <v>0</v>
      </c>
      <c r="BV182" s="5">
        <v>0</v>
      </c>
      <c r="BW182" s="5">
        <v>0</v>
      </c>
      <c r="BX182" s="5">
        <v>0</v>
      </c>
      <c r="BY182" s="5">
        <v>0</v>
      </c>
      <c r="BZ182" s="5">
        <v>0</v>
      </c>
      <c r="CA182" s="5">
        <v>0</v>
      </c>
      <c r="CB182" s="5">
        <v>0</v>
      </c>
      <c r="CC182" s="5">
        <v>0</v>
      </c>
      <c r="CD182" s="5">
        <v>0</v>
      </c>
      <c r="CE182" s="5">
        <v>0</v>
      </c>
      <c r="CF182" s="5">
        <v>0</v>
      </c>
      <c r="CG182" s="5">
        <v>0</v>
      </c>
      <c r="CH182" s="5">
        <v>0</v>
      </c>
      <c r="CI182" s="5">
        <v>0</v>
      </c>
      <c r="CJ182" s="5">
        <v>0</v>
      </c>
      <c r="CK182" s="5">
        <v>0</v>
      </c>
      <c r="CL182" s="5">
        <v>2.5013347216700701E-2</v>
      </c>
      <c r="CM182" s="5">
        <v>0</v>
      </c>
      <c r="CN182" s="5">
        <v>0.03</v>
      </c>
      <c r="CO182" s="5">
        <v>0</v>
      </c>
      <c r="CP182" s="5">
        <v>0</v>
      </c>
      <c r="CQ182" s="5">
        <v>0.03</v>
      </c>
      <c r="CR182" s="5">
        <v>0.03</v>
      </c>
      <c r="CS182" s="5">
        <v>0.03</v>
      </c>
      <c r="CT182" s="5">
        <v>0.03</v>
      </c>
      <c r="CU182" s="5">
        <v>412022</v>
      </c>
      <c r="CV182" s="5">
        <v>0.03</v>
      </c>
      <c r="CW182" s="5">
        <v>1</v>
      </c>
      <c r="CX182" s="5">
        <v>0.03</v>
      </c>
      <c r="CZ182" s="5">
        <v>100</v>
      </c>
      <c r="DA182" s="5">
        <v>117</v>
      </c>
      <c r="DB182" s="5">
        <v>134</v>
      </c>
      <c r="DC182" s="5">
        <v>116</v>
      </c>
      <c r="DD182" s="5" t="s">
        <v>887</v>
      </c>
      <c r="DE182" s="5" t="s">
        <v>0</v>
      </c>
      <c r="DF182" s="5">
        <f t="shared" si="4"/>
        <v>193.91000000000028</v>
      </c>
      <c r="DG182" s="5">
        <v>180</v>
      </c>
      <c r="DH182" s="5">
        <f t="shared" si="5"/>
        <v>193.91000000000017</v>
      </c>
    </row>
    <row r="183" spans="1:112" hidden="1" x14ac:dyDescent="0.35">
      <c r="A183">
        <v>1004603990</v>
      </c>
      <c r="D183" t="s">
        <v>100</v>
      </c>
      <c r="E183" t="s">
        <v>99</v>
      </c>
      <c r="F183" t="s">
        <v>104</v>
      </c>
      <c r="G183" t="s">
        <v>103</v>
      </c>
      <c r="J183">
        <v>356534351</v>
      </c>
      <c r="AL183">
        <v>4603990</v>
      </c>
      <c r="AX183">
        <v>11</v>
      </c>
      <c r="AY183">
        <v>668028</v>
      </c>
      <c r="AZ183">
        <v>5508637</v>
      </c>
      <c r="BA183">
        <v>986.42535326688301</v>
      </c>
      <c r="BB183" t="s">
        <v>1005</v>
      </c>
      <c r="BC183" t="s">
        <v>1004</v>
      </c>
      <c r="BD183" t="s">
        <v>94</v>
      </c>
      <c r="BF183" t="s">
        <v>439</v>
      </c>
      <c r="BG183">
        <v>2</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0.198626561278368</v>
      </c>
      <c r="CM183">
        <v>0</v>
      </c>
      <c r="CN183">
        <v>0.2</v>
      </c>
      <c r="CO183">
        <v>0</v>
      </c>
      <c r="CP183">
        <v>0</v>
      </c>
      <c r="CQ183">
        <v>0.2</v>
      </c>
      <c r="CR183">
        <v>0.2</v>
      </c>
      <c r="CS183">
        <v>0.2</v>
      </c>
      <c r="CT183">
        <v>0.2</v>
      </c>
      <c r="CU183">
        <v>178762</v>
      </c>
      <c r="CV183">
        <v>0.2</v>
      </c>
      <c r="CW183">
        <v>1</v>
      </c>
      <c r="CX183">
        <v>0.2</v>
      </c>
      <c r="CY183" t="s">
        <v>1003</v>
      </c>
      <c r="CZ183">
        <v>81</v>
      </c>
      <c r="DA183">
        <v>147</v>
      </c>
      <c r="DB183">
        <v>107</v>
      </c>
      <c r="DC183">
        <v>117</v>
      </c>
      <c r="DD183" t="s">
        <v>887</v>
      </c>
      <c r="DE183" t="s">
        <v>0</v>
      </c>
      <c r="DF183">
        <f t="shared" si="4"/>
        <v>194.11000000000027</v>
      </c>
      <c r="DG183">
        <v>181</v>
      </c>
      <c r="DH183">
        <f t="shared" si="5"/>
        <v>194.11000000000016</v>
      </c>
    </row>
    <row r="184" spans="1:112" hidden="1" x14ac:dyDescent="0.35">
      <c r="A184">
        <v>1004600227</v>
      </c>
      <c r="D184" t="s">
        <v>100</v>
      </c>
      <c r="E184" t="s">
        <v>99</v>
      </c>
      <c r="F184" t="s">
        <v>104</v>
      </c>
      <c r="G184" t="s">
        <v>103</v>
      </c>
      <c r="H184" t="s">
        <v>823</v>
      </c>
      <c r="J184">
        <v>356565267</v>
      </c>
      <c r="AL184">
        <v>4600227</v>
      </c>
      <c r="AX184">
        <v>11</v>
      </c>
      <c r="AY184">
        <v>644737</v>
      </c>
      <c r="AZ184">
        <v>5483665</v>
      </c>
      <c r="BA184">
        <v>87.360595231616102</v>
      </c>
      <c r="BB184" t="s">
        <v>1002</v>
      </c>
      <c r="BC184" t="s">
        <v>1002</v>
      </c>
      <c r="BD184" t="s">
        <v>94</v>
      </c>
      <c r="BF184" t="s">
        <v>449</v>
      </c>
      <c r="BG184">
        <v>1</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2.0000000000023301E-2</v>
      </c>
      <c r="CM184">
        <v>0</v>
      </c>
      <c r="CN184">
        <v>0.02</v>
      </c>
      <c r="CO184">
        <v>0</v>
      </c>
      <c r="CP184">
        <v>0</v>
      </c>
      <c r="CQ184">
        <v>0.02</v>
      </c>
      <c r="CR184">
        <v>0.02</v>
      </c>
      <c r="CS184">
        <v>0.02</v>
      </c>
      <c r="CT184">
        <v>0.02</v>
      </c>
      <c r="CU184">
        <v>65402</v>
      </c>
      <c r="CV184">
        <v>0.02</v>
      </c>
      <c r="CW184">
        <v>1</v>
      </c>
      <c r="CX184">
        <v>0.02</v>
      </c>
      <c r="CZ184">
        <v>102</v>
      </c>
      <c r="DA184">
        <v>119</v>
      </c>
      <c r="DB184">
        <v>137</v>
      </c>
      <c r="DC184">
        <v>118</v>
      </c>
      <c r="DD184" t="s">
        <v>887</v>
      </c>
      <c r="DE184" t="s">
        <v>0</v>
      </c>
      <c r="DF184">
        <f t="shared" si="4"/>
        <v>194.13000000000028</v>
      </c>
      <c r="DG184">
        <v>182</v>
      </c>
      <c r="DH184">
        <f t="shared" si="5"/>
        <v>194.13000000000017</v>
      </c>
    </row>
    <row r="185" spans="1:112" hidden="1" x14ac:dyDescent="0.35">
      <c r="A185">
        <v>1004606718</v>
      </c>
      <c r="D185" t="s">
        <v>100</v>
      </c>
      <c r="E185" t="s">
        <v>180</v>
      </c>
      <c r="F185" t="s">
        <v>104</v>
      </c>
      <c r="G185" t="s">
        <v>103</v>
      </c>
      <c r="I185" t="s">
        <v>7</v>
      </c>
      <c r="J185">
        <v>356562021</v>
      </c>
      <c r="AL185">
        <v>4606718</v>
      </c>
      <c r="AX185">
        <v>11</v>
      </c>
      <c r="AY185">
        <v>644697</v>
      </c>
      <c r="AZ185">
        <v>5467720</v>
      </c>
      <c r="BA185">
        <v>167.75512055767501</v>
      </c>
      <c r="BB185" t="s">
        <v>1001</v>
      </c>
      <c r="BC185" t="s">
        <v>1001</v>
      </c>
      <c r="BD185" t="s">
        <v>94</v>
      </c>
      <c r="BF185" t="s">
        <v>449</v>
      </c>
      <c r="BG185">
        <v>1</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1.7999999999856599E-2</v>
      </c>
      <c r="CM185">
        <v>0</v>
      </c>
      <c r="CN185">
        <v>0.02</v>
      </c>
      <c r="CO185">
        <v>0</v>
      </c>
      <c r="CP185">
        <v>0</v>
      </c>
      <c r="CQ185">
        <v>0.02</v>
      </c>
      <c r="CR185">
        <v>0.02</v>
      </c>
      <c r="CS185">
        <v>0.02</v>
      </c>
      <c r="CT185">
        <v>0.02</v>
      </c>
      <c r="CU185">
        <v>241982</v>
      </c>
      <c r="CV185">
        <v>0.02</v>
      </c>
      <c r="CW185">
        <v>1</v>
      </c>
      <c r="CX185">
        <v>0.02</v>
      </c>
      <c r="CZ185">
        <v>102</v>
      </c>
      <c r="DA185">
        <v>120</v>
      </c>
      <c r="DB185">
        <v>138</v>
      </c>
      <c r="DC185">
        <v>119</v>
      </c>
      <c r="DD185" t="s">
        <v>887</v>
      </c>
      <c r="DE185" t="s">
        <v>0</v>
      </c>
      <c r="DF185">
        <f t="shared" si="4"/>
        <v>194.15000000000029</v>
      </c>
      <c r="DG185">
        <v>183</v>
      </c>
      <c r="DH185">
        <f t="shared" si="5"/>
        <v>194.15000000000018</v>
      </c>
    </row>
    <row r="186" spans="1:112" hidden="1" x14ac:dyDescent="0.35">
      <c r="A186">
        <v>1004603244</v>
      </c>
      <c r="D186" t="s">
        <v>100</v>
      </c>
      <c r="E186" t="s">
        <v>99</v>
      </c>
      <c r="F186" t="s">
        <v>104</v>
      </c>
      <c r="G186" t="s">
        <v>103</v>
      </c>
      <c r="J186">
        <v>356543731</v>
      </c>
      <c r="AL186">
        <v>4603244</v>
      </c>
      <c r="AX186">
        <v>11</v>
      </c>
      <c r="AY186">
        <v>653406</v>
      </c>
      <c r="AZ186">
        <v>5555764</v>
      </c>
      <c r="BA186">
        <v>644.82095002367703</v>
      </c>
      <c r="BB186" t="s">
        <v>1000</v>
      </c>
      <c r="BC186" t="s">
        <v>999</v>
      </c>
      <c r="BD186" t="s">
        <v>94</v>
      </c>
      <c r="BF186" t="s">
        <v>449</v>
      </c>
      <c r="BG186">
        <v>1</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2.1999999999995599E-2</v>
      </c>
      <c r="CL186">
        <v>0</v>
      </c>
      <c r="CM186">
        <v>0.02</v>
      </c>
      <c r="CN186">
        <v>0</v>
      </c>
      <c r="CO186">
        <v>0.02</v>
      </c>
      <c r="CP186">
        <v>0.02</v>
      </c>
      <c r="CQ186">
        <v>0</v>
      </c>
      <c r="CR186">
        <v>0</v>
      </c>
      <c r="CS186">
        <v>0.02</v>
      </c>
      <c r="CT186">
        <v>0.02</v>
      </c>
      <c r="CU186">
        <v>172222</v>
      </c>
      <c r="CV186">
        <v>0.02</v>
      </c>
      <c r="CW186">
        <v>1</v>
      </c>
      <c r="CX186">
        <v>0.02</v>
      </c>
      <c r="CZ186">
        <v>102</v>
      </c>
      <c r="DA186">
        <v>121</v>
      </c>
      <c r="DB186">
        <v>139</v>
      </c>
      <c r="DC186">
        <v>120</v>
      </c>
      <c r="DD186" t="s">
        <v>887</v>
      </c>
      <c r="DE186" t="s">
        <v>0</v>
      </c>
      <c r="DF186">
        <f t="shared" si="4"/>
        <v>194.1700000000003</v>
      </c>
      <c r="DG186">
        <v>184</v>
      </c>
      <c r="DH186">
        <f t="shared" si="5"/>
        <v>194.17000000000019</v>
      </c>
    </row>
    <row r="187" spans="1:112" hidden="1" x14ac:dyDescent="0.35">
      <c r="A187">
        <v>1004600143</v>
      </c>
      <c r="D187" t="s">
        <v>100</v>
      </c>
      <c r="E187" t="s">
        <v>120</v>
      </c>
      <c r="F187" t="s">
        <v>104</v>
      </c>
      <c r="G187" t="s">
        <v>103</v>
      </c>
      <c r="H187" t="s">
        <v>998</v>
      </c>
      <c r="J187">
        <v>356526819</v>
      </c>
      <c r="AL187">
        <v>4600143</v>
      </c>
      <c r="AX187">
        <v>11</v>
      </c>
      <c r="AY187">
        <v>640850</v>
      </c>
      <c r="AZ187">
        <v>5486820</v>
      </c>
      <c r="BA187">
        <v>840.10338183880503</v>
      </c>
      <c r="BB187" t="s">
        <v>891</v>
      </c>
      <c r="BC187" t="s">
        <v>890</v>
      </c>
      <c r="BD187" t="s">
        <v>94</v>
      </c>
      <c r="BF187" t="s">
        <v>997</v>
      </c>
      <c r="BG187">
        <v>3</v>
      </c>
      <c r="BH187" t="s">
        <v>996</v>
      </c>
      <c r="BI187">
        <v>2</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0.42019617234645101</v>
      </c>
      <c r="CM187">
        <v>0</v>
      </c>
      <c r="CN187">
        <v>0.06</v>
      </c>
      <c r="CO187">
        <v>0</v>
      </c>
      <c r="CP187">
        <v>0</v>
      </c>
      <c r="CQ187">
        <v>0.42</v>
      </c>
      <c r="CR187">
        <v>0.06</v>
      </c>
      <c r="CS187">
        <v>0.42</v>
      </c>
      <c r="CT187">
        <v>0.06</v>
      </c>
      <c r="CU187">
        <v>313923</v>
      </c>
      <c r="CV187">
        <v>0.38</v>
      </c>
      <c r="CW187">
        <v>2</v>
      </c>
      <c r="CX187">
        <v>0.19</v>
      </c>
      <c r="CY187" t="s">
        <v>994</v>
      </c>
      <c r="CZ187">
        <v>82</v>
      </c>
      <c r="DA187">
        <v>175</v>
      </c>
      <c r="DB187">
        <v>86</v>
      </c>
      <c r="DC187">
        <v>121</v>
      </c>
      <c r="DD187" t="s">
        <v>887</v>
      </c>
      <c r="DE187" t="s">
        <v>0</v>
      </c>
      <c r="DF187">
        <f t="shared" si="4"/>
        <v>194.3600000000003</v>
      </c>
      <c r="DG187">
        <v>185</v>
      </c>
      <c r="DH187">
        <f t="shared" si="5"/>
        <v>194.23000000000019</v>
      </c>
    </row>
    <row r="188" spans="1:112" hidden="1" x14ac:dyDescent="0.35">
      <c r="A188">
        <v>1024734256</v>
      </c>
      <c r="D188" t="s">
        <v>100</v>
      </c>
      <c r="E188" t="s">
        <v>99</v>
      </c>
      <c r="F188" t="s">
        <v>104</v>
      </c>
      <c r="G188" t="s">
        <v>103</v>
      </c>
      <c r="J188">
        <v>356526819</v>
      </c>
      <c r="AL188">
        <v>24734256</v>
      </c>
      <c r="AX188">
        <v>11</v>
      </c>
      <c r="AY188">
        <v>640896</v>
      </c>
      <c r="AZ188">
        <v>5486789</v>
      </c>
      <c r="BA188">
        <v>897.97441029307299</v>
      </c>
      <c r="BB188" t="s">
        <v>891</v>
      </c>
      <c r="BC188" t="s">
        <v>890</v>
      </c>
      <c r="BD188" t="s">
        <v>94</v>
      </c>
      <c r="BF188" t="s">
        <v>995</v>
      </c>
      <c r="BG188">
        <v>4</v>
      </c>
      <c r="BH188">
        <v>1024734255</v>
      </c>
      <c r="BI188">
        <v>1</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0.36219617234631102</v>
      </c>
      <c r="CM188">
        <v>0</v>
      </c>
      <c r="CN188">
        <v>0.32</v>
      </c>
      <c r="CO188">
        <v>0</v>
      </c>
      <c r="CP188">
        <v>0</v>
      </c>
      <c r="CQ188">
        <v>0.36</v>
      </c>
      <c r="CR188">
        <v>0.32</v>
      </c>
      <c r="CS188">
        <v>0.36</v>
      </c>
      <c r="CT188">
        <v>0.32</v>
      </c>
      <c r="CU188">
        <v>313923</v>
      </c>
      <c r="CV188">
        <v>0.38</v>
      </c>
      <c r="CW188">
        <v>2</v>
      </c>
      <c r="CX188">
        <v>0.19</v>
      </c>
      <c r="CY188" t="s">
        <v>994</v>
      </c>
      <c r="CZ188">
        <v>82</v>
      </c>
      <c r="DA188">
        <v>175</v>
      </c>
      <c r="DB188">
        <v>86</v>
      </c>
      <c r="DC188">
        <v>121</v>
      </c>
      <c r="DD188" t="s">
        <v>887</v>
      </c>
      <c r="DE188" t="s">
        <v>0</v>
      </c>
      <c r="DF188">
        <f t="shared" si="4"/>
        <v>194.5500000000003</v>
      </c>
      <c r="DG188">
        <v>186</v>
      </c>
      <c r="DH188">
        <f t="shared" si="5"/>
        <v>194.55000000000018</v>
      </c>
    </row>
    <row r="189" spans="1:112" hidden="1" x14ac:dyDescent="0.35">
      <c r="A189">
        <v>1024734736</v>
      </c>
      <c r="D189" t="s">
        <v>100</v>
      </c>
      <c r="E189" t="s">
        <v>99</v>
      </c>
      <c r="F189" t="s">
        <v>104</v>
      </c>
      <c r="G189" t="s">
        <v>103</v>
      </c>
      <c r="J189">
        <v>356552342</v>
      </c>
      <c r="AL189">
        <v>24734736</v>
      </c>
      <c r="AX189">
        <v>11</v>
      </c>
      <c r="AY189">
        <v>649847</v>
      </c>
      <c r="AZ189">
        <v>5499178</v>
      </c>
      <c r="BA189">
        <v>3996.6124341121699</v>
      </c>
      <c r="BB189" t="s">
        <v>993</v>
      </c>
      <c r="BC189" t="s">
        <v>992</v>
      </c>
      <c r="BD189" t="s">
        <v>94</v>
      </c>
      <c r="BF189" t="s">
        <v>991</v>
      </c>
      <c r="BG189">
        <v>3</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0.33000000000006002</v>
      </c>
      <c r="CL189">
        <v>0.33000000000006002</v>
      </c>
      <c r="CM189">
        <v>0.33</v>
      </c>
      <c r="CN189">
        <v>0.33</v>
      </c>
      <c r="CO189">
        <v>0.33</v>
      </c>
      <c r="CP189">
        <v>0.33</v>
      </c>
      <c r="CQ189">
        <v>0.33</v>
      </c>
      <c r="CR189">
        <v>0.33</v>
      </c>
      <c r="CS189">
        <v>0.33</v>
      </c>
      <c r="CT189">
        <v>0.33</v>
      </c>
      <c r="CU189">
        <v>28343</v>
      </c>
      <c r="CV189">
        <v>0.33</v>
      </c>
      <c r="CW189">
        <v>1</v>
      </c>
      <c r="CX189">
        <v>0.33</v>
      </c>
      <c r="CY189" t="s">
        <v>990</v>
      </c>
      <c r="CZ189">
        <v>71</v>
      </c>
      <c r="DA189">
        <v>171</v>
      </c>
      <c r="DB189">
        <v>93</v>
      </c>
      <c r="DC189">
        <v>122</v>
      </c>
      <c r="DD189" t="s">
        <v>887</v>
      </c>
      <c r="DE189" t="s">
        <v>0</v>
      </c>
      <c r="DF189">
        <f t="shared" si="4"/>
        <v>194.88000000000031</v>
      </c>
      <c r="DG189">
        <v>187</v>
      </c>
      <c r="DH189">
        <f t="shared" si="5"/>
        <v>194.88000000000019</v>
      </c>
    </row>
    <row r="190" spans="1:112" hidden="1" x14ac:dyDescent="0.35">
      <c r="A190">
        <v>1004606824</v>
      </c>
      <c r="D190" t="s">
        <v>100</v>
      </c>
      <c r="E190" t="s">
        <v>180</v>
      </c>
      <c r="F190" t="s">
        <v>104</v>
      </c>
      <c r="G190" t="s">
        <v>103</v>
      </c>
      <c r="I190" t="s">
        <v>7</v>
      </c>
      <c r="J190">
        <v>356547468</v>
      </c>
      <c r="AL190">
        <v>4606824</v>
      </c>
      <c r="AX190">
        <v>11</v>
      </c>
      <c r="AY190">
        <v>660204</v>
      </c>
      <c r="AZ190">
        <v>5502415</v>
      </c>
      <c r="BA190">
        <v>156.36715685139299</v>
      </c>
      <c r="BB190" t="s">
        <v>989</v>
      </c>
      <c r="BC190" t="s">
        <v>989</v>
      </c>
      <c r="BD190" t="s">
        <v>94</v>
      </c>
      <c r="BF190" t="s">
        <v>449</v>
      </c>
      <c r="BG190">
        <v>1</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1.19999999999536E-2</v>
      </c>
      <c r="CM190">
        <v>0</v>
      </c>
      <c r="CN190">
        <v>0.01</v>
      </c>
      <c r="CO190">
        <v>0</v>
      </c>
      <c r="CP190">
        <v>0</v>
      </c>
      <c r="CQ190">
        <v>0.01</v>
      </c>
      <c r="CR190">
        <v>0.01</v>
      </c>
      <c r="CS190">
        <v>0.01</v>
      </c>
      <c r="CT190">
        <v>0.01</v>
      </c>
      <c r="CU190">
        <v>272502</v>
      </c>
      <c r="CV190">
        <v>0.01</v>
      </c>
      <c r="CW190">
        <v>1</v>
      </c>
      <c r="CX190">
        <v>0.01</v>
      </c>
      <c r="CZ190">
        <v>103</v>
      </c>
      <c r="DA190">
        <v>123</v>
      </c>
      <c r="DB190">
        <v>141</v>
      </c>
      <c r="DC190">
        <v>123</v>
      </c>
      <c r="DD190" t="s">
        <v>887</v>
      </c>
      <c r="DE190" t="s">
        <v>0</v>
      </c>
      <c r="DF190">
        <f t="shared" si="4"/>
        <v>194.8900000000003</v>
      </c>
      <c r="DG190">
        <v>188</v>
      </c>
      <c r="DH190">
        <f t="shared" si="5"/>
        <v>194.89000000000019</v>
      </c>
    </row>
    <row r="191" spans="1:112" hidden="1" x14ac:dyDescent="0.35">
      <c r="A191">
        <v>1004607522</v>
      </c>
      <c r="D191" t="s">
        <v>100</v>
      </c>
      <c r="E191" t="s">
        <v>99</v>
      </c>
      <c r="F191" t="s">
        <v>104</v>
      </c>
      <c r="G191" t="s">
        <v>103</v>
      </c>
      <c r="J191">
        <v>356538015</v>
      </c>
      <c r="AL191">
        <v>4607522</v>
      </c>
      <c r="AX191">
        <v>11</v>
      </c>
      <c r="AY191">
        <v>654759</v>
      </c>
      <c r="AZ191">
        <v>5553180</v>
      </c>
      <c r="BA191">
        <v>167.90541865877</v>
      </c>
      <c r="BB191" t="s">
        <v>988</v>
      </c>
      <c r="BC191" t="s">
        <v>988</v>
      </c>
      <c r="BD191" t="s">
        <v>94</v>
      </c>
      <c r="BF191" t="s">
        <v>449</v>
      </c>
      <c r="BG191">
        <v>1</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1.3000000000031001E-2</v>
      </c>
      <c r="CL191">
        <v>0</v>
      </c>
      <c r="CM191">
        <v>1.3000000000031001E-2</v>
      </c>
      <c r="CN191">
        <v>0</v>
      </c>
      <c r="CO191">
        <v>0.01</v>
      </c>
      <c r="CP191">
        <v>0.01</v>
      </c>
      <c r="CQ191">
        <v>0</v>
      </c>
      <c r="CR191">
        <v>0</v>
      </c>
      <c r="CS191">
        <v>0.01</v>
      </c>
      <c r="CT191">
        <v>0.01</v>
      </c>
      <c r="CU191">
        <v>287762</v>
      </c>
      <c r="CV191">
        <v>0.01</v>
      </c>
      <c r="CW191">
        <v>1</v>
      </c>
      <c r="CX191">
        <v>0.01</v>
      </c>
      <c r="CZ191">
        <v>103</v>
      </c>
      <c r="DA191">
        <v>122</v>
      </c>
      <c r="DB191">
        <v>143</v>
      </c>
      <c r="DC191">
        <v>124</v>
      </c>
      <c r="DD191" t="s">
        <v>887</v>
      </c>
      <c r="DE191" t="s">
        <v>0</v>
      </c>
      <c r="DF191">
        <f t="shared" si="4"/>
        <v>194.90000000000029</v>
      </c>
      <c r="DG191">
        <v>189</v>
      </c>
      <c r="DH191">
        <f t="shared" si="5"/>
        <v>194.90000000000018</v>
      </c>
    </row>
    <row r="192" spans="1:112" hidden="1" x14ac:dyDescent="0.35">
      <c r="A192">
        <v>1024734737</v>
      </c>
      <c r="D192" t="s">
        <v>100</v>
      </c>
      <c r="E192" t="s">
        <v>99</v>
      </c>
      <c r="F192" t="s">
        <v>104</v>
      </c>
      <c r="G192" t="s">
        <v>103</v>
      </c>
      <c r="J192">
        <v>356562135</v>
      </c>
      <c r="AL192">
        <v>24734737</v>
      </c>
      <c r="AX192">
        <v>11</v>
      </c>
      <c r="AY192">
        <v>650516</v>
      </c>
      <c r="AZ192">
        <v>5500547</v>
      </c>
      <c r="BA192">
        <v>2405.3745860151498</v>
      </c>
      <c r="BB192" t="s">
        <v>951</v>
      </c>
      <c r="BC192" t="s">
        <v>950</v>
      </c>
      <c r="BD192" t="s">
        <v>94</v>
      </c>
      <c r="BF192" t="s">
        <v>987</v>
      </c>
      <c r="BG192">
        <v>6</v>
      </c>
      <c r="BH192" t="s">
        <v>986</v>
      </c>
      <c r="BI192">
        <v>6</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0.78299999999998304</v>
      </c>
      <c r="CM192">
        <v>0</v>
      </c>
      <c r="CN192">
        <v>0.16</v>
      </c>
      <c r="CO192">
        <v>0</v>
      </c>
      <c r="CP192">
        <v>0</v>
      </c>
      <c r="CQ192">
        <v>0.78</v>
      </c>
      <c r="CR192">
        <v>0.15</v>
      </c>
      <c r="CS192">
        <v>0.78</v>
      </c>
      <c r="CT192">
        <v>0.15</v>
      </c>
      <c r="CU192">
        <v>337903</v>
      </c>
      <c r="CV192">
        <v>0.15</v>
      </c>
      <c r="CW192">
        <v>1</v>
      </c>
      <c r="CX192">
        <v>0.15</v>
      </c>
      <c r="CY192" t="s">
        <v>985</v>
      </c>
      <c r="CZ192">
        <v>86</v>
      </c>
      <c r="DA192">
        <v>203</v>
      </c>
      <c r="DB192">
        <v>64</v>
      </c>
      <c r="DC192">
        <v>125</v>
      </c>
      <c r="DD192" t="s">
        <v>887</v>
      </c>
      <c r="DE192" t="s">
        <v>0</v>
      </c>
      <c r="DF192">
        <f t="shared" si="4"/>
        <v>195.0500000000003</v>
      </c>
      <c r="DG192">
        <v>190</v>
      </c>
      <c r="DH192">
        <f t="shared" si="5"/>
        <v>195.05000000000018</v>
      </c>
    </row>
    <row r="193" spans="1:112" hidden="1" x14ac:dyDescent="0.35">
      <c r="A193">
        <v>1004600045</v>
      </c>
      <c r="D193" t="s">
        <v>100</v>
      </c>
      <c r="E193" t="s">
        <v>120</v>
      </c>
      <c r="F193" t="s">
        <v>104</v>
      </c>
      <c r="G193" t="s">
        <v>103</v>
      </c>
      <c r="H193" t="s">
        <v>984</v>
      </c>
      <c r="J193">
        <v>356502167</v>
      </c>
      <c r="AL193">
        <v>4600045</v>
      </c>
      <c r="AX193">
        <v>11</v>
      </c>
      <c r="AY193">
        <v>648067</v>
      </c>
      <c r="AZ193">
        <v>5541287</v>
      </c>
      <c r="BA193">
        <v>3402.6052398495999</v>
      </c>
      <c r="BB193" t="s">
        <v>981</v>
      </c>
      <c r="BC193" t="s">
        <v>980</v>
      </c>
      <c r="BD193" t="s">
        <v>94</v>
      </c>
      <c r="BF193" t="s">
        <v>983</v>
      </c>
      <c r="BG193">
        <v>3</v>
      </c>
      <c r="BH193">
        <v>1004600044</v>
      </c>
      <c r="BI193">
        <v>1</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0.281000000000039</v>
      </c>
      <c r="CM193">
        <v>0</v>
      </c>
      <c r="CN193">
        <v>0.12</v>
      </c>
      <c r="CO193">
        <v>0</v>
      </c>
      <c r="CP193">
        <v>0</v>
      </c>
      <c r="CQ193">
        <v>0.28000000000000003</v>
      </c>
      <c r="CR193">
        <v>0.12</v>
      </c>
      <c r="CS193">
        <v>0.28000000000000003</v>
      </c>
      <c r="CT193">
        <v>0.12</v>
      </c>
      <c r="CU193">
        <v>19623</v>
      </c>
      <c r="CV193">
        <v>0.28000000000000003</v>
      </c>
      <c r="CW193">
        <v>2</v>
      </c>
      <c r="CX193">
        <v>0.14000000000000001</v>
      </c>
      <c r="CY193" t="s">
        <v>978</v>
      </c>
      <c r="CZ193">
        <v>88</v>
      </c>
      <c r="DA193">
        <v>177</v>
      </c>
      <c r="DB193">
        <v>97</v>
      </c>
      <c r="DC193">
        <v>126</v>
      </c>
      <c r="DD193" t="s">
        <v>887</v>
      </c>
      <c r="DE193" t="s">
        <v>0</v>
      </c>
      <c r="DF193">
        <f t="shared" si="4"/>
        <v>195.19000000000028</v>
      </c>
      <c r="DG193">
        <v>191</v>
      </c>
      <c r="DH193">
        <f t="shared" si="5"/>
        <v>195.17000000000019</v>
      </c>
    </row>
    <row r="194" spans="1:112" hidden="1" x14ac:dyDescent="0.35">
      <c r="A194">
        <v>1004600044</v>
      </c>
      <c r="D194" t="s">
        <v>100</v>
      </c>
      <c r="E194" t="s">
        <v>120</v>
      </c>
      <c r="F194" t="s">
        <v>104</v>
      </c>
      <c r="G194" t="s">
        <v>103</v>
      </c>
      <c r="H194" t="s">
        <v>982</v>
      </c>
      <c r="J194">
        <v>356502167</v>
      </c>
      <c r="AL194">
        <v>4600044</v>
      </c>
      <c r="AX194">
        <v>11</v>
      </c>
      <c r="AY194">
        <v>647962</v>
      </c>
      <c r="AZ194">
        <v>5541338</v>
      </c>
      <c r="BA194">
        <v>3523.08846176518</v>
      </c>
      <c r="BB194" t="s">
        <v>981</v>
      </c>
      <c r="BC194" t="s">
        <v>980</v>
      </c>
      <c r="BD194" t="s">
        <v>94</v>
      </c>
      <c r="BF194" t="s">
        <v>979</v>
      </c>
      <c r="BG194">
        <v>4</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0.16100000000005801</v>
      </c>
      <c r="CM194">
        <v>0</v>
      </c>
      <c r="CN194">
        <v>0.16</v>
      </c>
      <c r="CO194">
        <v>0</v>
      </c>
      <c r="CP194">
        <v>0</v>
      </c>
      <c r="CQ194">
        <v>0.16</v>
      </c>
      <c r="CR194">
        <v>0.16</v>
      </c>
      <c r="CS194">
        <v>0.16</v>
      </c>
      <c r="CT194">
        <v>0.16</v>
      </c>
      <c r="CU194">
        <v>19623</v>
      </c>
      <c r="CV194">
        <v>0.28000000000000003</v>
      </c>
      <c r="CW194">
        <v>2</v>
      </c>
      <c r="CX194">
        <v>0.14000000000000001</v>
      </c>
      <c r="CY194" t="s">
        <v>978</v>
      </c>
      <c r="CZ194">
        <v>88</v>
      </c>
      <c r="DA194">
        <v>177</v>
      </c>
      <c r="DB194">
        <v>97</v>
      </c>
      <c r="DC194">
        <v>126</v>
      </c>
      <c r="DD194" t="s">
        <v>887</v>
      </c>
      <c r="DE194" t="s">
        <v>0</v>
      </c>
      <c r="DF194">
        <f t="shared" si="4"/>
        <v>195.33000000000027</v>
      </c>
      <c r="DG194">
        <v>192</v>
      </c>
      <c r="DH194">
        <f t="shared" si="5"/>
        <v>195.33000000000018</v>
      </c>
    </row>
    <row r="195" spans="1:112" hidden="1" x14ac:dyDescent="0.35">
      <c r="A195">
        <v>1024734150</v>
      </c>
      <c r="D195" t="s">
        <v>100</v>
      </c>
      <c r="E195" t="s">
        <v>120</v>
      </c>
      <c r="F195" t="s">
        <v>104</v>
      </c>
      <c r="G195" t="s">
        <v>103</v>
      </c>
      <c r="H195" t="s">
        <v>602</v>
      </c>
      <c r="J195">
        <v>356471715</v>
      </c>
      <c r="AL195">
        <v>24734150</v>
      </c>
      <c r="AX195">
        <v>11</v>
      </c>
      <c r="AY195">
        <v>643272</v>
      </c>
      <c r="AZ195">
        <v>5472704</v>
      </c>
      <c r="BA195">
        <v>39.875309960335002</v>
      </c>
      <c r="BB195" t="s">
        <v>974</v>
      </c>
      <c r="BC195" t="s">
        <v>974</v>
      </c>
      <c r="BD195" t="s">
        <v>94</v>
      </c>
      <c r="BF195" t="s">
        <v>977</v>
      </c>
      <c r="BG195">
        <v>4</v>
      </c>
      <c r="BH195" t="s">
        <v>976</v>
      </c>
      <c r="BI195">
        <v>2</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0.42940661057713603</v>
      </c>
      <c r="CM195">
        <v>0</v>
      </c>
      <c r="CN195">
        <v>0.04</v>
      </c>
      <c r="CO195">
        <v>0</v>
      </c>
      <c r="CP195">
        <v>0</v>
      </c>
      <c r="CQ195">
        <v>0.43</v>
      </c>
      <c r="CR195">
        <v>0.04</v>
      </c>
      <c r="CS195">
        <v>0.43</v>
      </c>
      <c r="CT195">
        <v>0.04</v>
      </c>
      <c r="CU195">
        <v>137342</v>
      </c>
      <c r="CV195">
        <v>0.43</v>
      </c>
      <c r="CW195">
        <v>3</v>
      </c>
      <c r="CX195">
        <v>0.14333333333333301</v>
      </c>
      <c r="CY195" t="s">
        <v>972</v>
      </c>
      <c r="CZ195">
        <v>87</v>
      </c>
      <c r="DA195">
        <v>190</v>
      </c>
      <c r="DB195">
        <v>84</v>
      </c>
      <c r="DC195">
        <v>127</v>
      </c>
      <c r="DD195" t="s">
        <v>887</v>
      </c>
      <c r="DE195" t="s">
        <v>0</v>
      </c>
      <c r="DF195">
        <f t="shared" ref="DF195:DF221" si="6">DF194+CX195</f>
        <v>195.47333333333361</v>
      </c>
      <c r="DG195">
        <v>193</v>
      </c>
      <c r="DH195">
        <f t="shared" ref="DH195:DH221" si="7">DH194+CT195</f>
        <v>195.37000000000018</v>
      </c>
    </row>
    <row r="196" spans="1:112" hidden="1" x14ac:dyDescent="0.35">
      <c r="A196">
        <v>1004601762</v>
      </c>
      <c r="D196" t="s">
        <v>100</v>
      </c>
      <c r="E196" t="s">
        <v>120</v>
      </c>
      <c r="F196" t="s">
        <v>104</v>
      </c>
      <c r="G196" t="s">
        <v>103</v>
      </c>
      <c r="H196" t="s">
        <v>584</v>
      </c>
      <c r="J196">
        <v>356471715</v>
      </c>
      <c r="AL196">
        <v>4601762</v>
      </c>
      <c r="AX196">
        <v>11</v>
      </c>
      <c r="AY196">
        <v>643245</v>
      </c>
      <c r="AZ196">
        <v>5472735</v>
      </c>
      <c r="BA196">
        <v>83.589296887461103</v>
      </c>
      <c r="BB196" t="s">
        <v>974</v>
      </c>
      <c r="BC196" t="s">
        <v>974</v>
      </c>
      <c r="BD196" t="s">
        <v>94</v>
      </c>
      <c r="BF196" t="s">
        <v>975</v>
      </c>
      <c r="BG196">
        <v>5</v>
      </c>
      <c r="BH196">
        <v>1004601754</v>
      </c>
      <c r="BI196">
        <v>1</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0.385406610577126</v>
      </c>
      <c r="CM196">
        <v>0</v>
      </c>
      <c r="CN196">
        <v>0.06</v>
      </c>
      <c r="CO196">
        <v>0</v>
      </c>
      <c r="CP196">
        <v>0</v>
      </c>
      <c r="CQ196">
        <v>0.39</v>
      </c>
      <c r="CR196">
        <v>7.0000000000000007E-2</v>
      </c>
      <c r="CS196">
        <v>0.39</v>
      </c>
      <c r="CT196">
        <v>7.0000000000000007E-2</v>
      </c>
      <c r="CU196">
        <v>137342</v>
      </c>
      <c r="CV196">
        <v>0.43</v>
      </c>
      <c r="CW196">
        <v>3</v>
      </c>
      <c r="CX196">
        <v>0.14333333333333301</v>
      </c>
      <c r="CY196" t="s">
        <v>972</v>
      </c>
      <c r="CZ196">
        <v>87</v>
      </c>
      <c r="DA196">
        <v>190</v>
      </c>
      <c r="DB196">
        <v>84</v>
      </c>
      <c r="DC196">
        <v>127</v>
      </c>
      <c r="DD196" t="s">
        <v>887</v>
      </c>
      <c r="DE196" t="s">
        <v>0</v>
      </c>
      <c r="DF196">
        <f t="shared" si="6"/>
        <v>195.61666666666696</v>
      </c>
      <c r="DG196">
        <v>194</v>
      </c>
      <c r="DH196">
        <f t="shared" si="7"/>
        <v>195.44000000000017</v>
      </c>
    </row>
    <row r="197" spans="1:112" hidden="1" x14ac:dyDescent="0.35">
      <c r="A197">
        <v>1004601754</v>
      </c>
      <c r="D197" t="s">
        <v>100</v>
      </c>
      <c r="E197" t="s">
        <v>120</v>
      </c>
      <c r="F197" t="s">
        <v>104</v>
      </c>
      <c r="G197" t="s">
        <v>103</v>
      </c>
      <c r="H197" t="s">
        <v>584</v>
      </c>
      <c r="J197">
        <v>356471715</v>
      </c>
      <c r="AL197">
        <v>4601754</v>
      </c>
      <c r="AX197">
        <v>11</v>
      </c>
      <c r="AY197">
        <v>643188</v>
      </c>
      <c r="AZ197">
        <v>5472740</v>
      </c>
      <c r="BA197">
        <v>145.82813436441</v>
      </c>
      <c r="BB197" t="s">
        <v>974</v>
      </c>
      <c r="BC197" t="s">
        <v>974</v>
      </c>
      <c r="BD197" t="s">
        <v>94</v>
      </c>
      <c r="BF197" t="s">
        <v>973</v>
      </c>
      <c r="BG197">
        <v>6</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0.323406610577121</v>
      </c>
      <c r="CM197">
        <v>0</v>
      </c>
      <c r="CN197">
        <v>0.32</v>
      </c>
      <c r="CO197">
        <v>0</v>
      </c>
      <c r="CP197">
        <v>0</v>
      </c>
      <c r="CQ197">
        <v>0.32</v>
      </c>
      <c r="CR197">
        <v>0.32</v>
      </c>
      <c r="CS197">
        <v>0.32</v>
      </c>
      <c r="CT197">
        <v>0.32</v>
      </c>
      <c r="CU197">
        <v>137342</v>
      </c>
      <c r="CV197">
        <v>0.43</v>
      </c>
      <c r="CW197">
        <v>3</v>
      </c>
      <c r="CX197">
        <v>0.14333333333333301</v>
      </c>
      <c r="CY197" t="s">
        <v>972</v>
      </c>
      <c r="CZ197">
        <v>87</v>
      </c>
      <c r="DA197">
        <v>190</v>
      </c>
      <c r="DB197">
        <v>84</v>
      </c>
      <c r="DC197">
        <v>127</v>
      </c>
      <c r="DD197" t="s">
        <v>887</v>
      </c>
      <c r="DE197" t="s">
        <v>0</v>
      </c>
      <c r="DF197">
        <f t="shared" si="6"/>
        <v>195.7600000000003</v>
      </c>
      <c r="DG197">
        <v>195</v>
      </c>
      <c r="DH197">
        <f t="shared" si="7"/>
        <v>195.76000000000016</v>
      </c>
    </row>
    <row r="198" spans="1:112" s="5" customFormat="1" hidden="1" x14ac:dyDescent="0.35">
      <c r="A198" s="5">
        <v>197581</v>
      </c>
      <c r="B198" s="5">
        <v>197581</v>
      </c>
      <c r="D198" s="5" t="s">
        <v>121</v>
      </c>
      <c r="E198" s="5" t="s">
        <v>120</v>
      </c>
      <c r="F198" s="5" t="s">
        <v>104</v>
      </c>
      <c r="G198" s="5" t="s">
        <v>119</v>
      </c>
      <c r="H198" s="5" t="s">
        <v>971</v>
      </c>
      <c r="J198" s="5">
        <v>356565444</v>
      </c>
      <c r="K198" s="5" t="s">
        <v>963</v>
      </c>
      <c r="L198" s="5" t="s">
        <v>965</v>
      </c>
      <c r="M198" s="5" t="s">
        <v>39</v>
      </c>
      <c r="N198" s="5" t="s">
        <v>970</v>
      </c>
      <c r="P198" s="5" t="s">
        <v>38</v>
      </c>
      <c r="Q198" s="5" t="s">
        <v>4</v>
      </c>
      <c r="V198" s="5" t="s">
        <v>149</v>
      </c>
      <c r="AE198" s="5" t="s">
        <v>969</v>
      </c>
      <c r="AI198" s="5" t="s">
        <v>968</v>
      </c>
      <c r="AJ198" s="5" t="s">
        <v>967</v>
      </c>
      <c r="AK198" s="5" t="s">
        <v>966</v>
      </c>
      <c r="AL198" s="5">
        <v>4600028</v>
      </c>
      <c r="AM198" s="5" t="s">
        <v>114</v>
      </c>
      <c r="AN198" s="5" t="s">
        <v>113</v>
      </c>
      <c r="AO198" s="5" t="s">
        <v>965</v>
      </c>
      <c r="AP198" s="5" t="s">
        <v>963</v>
      </c>
      <c r="AQ198" s="5" t="s">
        <v>964</v>
      </c>
      <c r="AR198" s="6">
        <v>45517</v>
      </c>
      <c r="AX198" s="5">
        <v>11</v>
      </c>
      <c r="AY198" s="5">
        <v>642555</v>
      </c>
      <c r="AZ198" s="5">
        <v>5490372</v>
      </c>
      <c r="BA198" s="5">
        <v>190</v>
      </c>
      <c r="BB198" s="5" t="s">
        <v>913</v>
      </c>
      <c r="BC198" s="5" t="s">
        <v>913</v>
      </c>
      <c r="BD198" s="5" t="s">
        <v>94</v>
      </c>
      <c r="BE198" s="5" t="s">
        <v>963</v>
      </c>
      <c r="BF198" s="5" t="s">
        <v>962</v>
      </c>
      <c r="BG198" s="5">
        <v>2</v>
      </c>
      <c r="BM198" s="5">
        <v>0</v>
      </c>
      <c r="BN198" s="5">
        <v>0</v>
      </c>
      <c r="BO198" s="5">
        <v>0</v>
      </c>
      <c r="BP198" s="5">
        <v>0</v>
      </c>
      <c r="BQ198" s="5">
        <v>0</v>
      </c>
      <c r="BR198" s="5">
        <v>0</v>
      </c>
      <c r="BS198" s="5">
        <v>0</v>
      </c>
      <c r="BT198" s="5">
        <v>0</v>
      </c>
      <c r="BU198" s="5">
        <v>0</v>
      </c>
      <c r="BV198" s="5">
        <v>0</v>
      </c>
      <c r="BW198" s="5">
        <v>0</v>
      </c>
      <c r="BX198" s="5">
        <v>0</v>
      </c>
      <c r="BY198" s="5">
        <v>0</v>
      </c>
      <c r="BZ198" s="5">
        <v>0</v>
      </c>
      <c r="CA198" s="5">
        <v>0</v>
      </c>
      <c r="CB198" s="5">
        <v>0</v>
      </c>
      <c r="CC198" s="5">
        <v>0</v>
      </c>
      <c r="CD198" s="5">
        <v>0</v>
      </c>
      <c r="CE198" s="5">
        <v>0</v>
      </c>
      <c r="CF198" s="5">
        <v>0</v>
      </c>
      <c r="CG198" s="5">
        <v>0</v>
      </c>
      <c r="CH198" s="5">
        <v>0</v>
      </c>
      <c r="CI198" s="5">
        <v>0</v>
      </c>
      <c r="CJ198" s="5">
        <v>0</v>
      </c>
      <c r="CK198" s="5">
        <v>0</v>
      </c>
      <c r="CL198" s="5">
        <v>8.3999999999946701E-2</v>
      </c>
      <c r="CM198" s="5">
        <v>0</v>
      </c>
      <c r="CN198" s="5">
        <v>0.08</v>
      </c>
      <c r="CO198" s="5">
        <v>0</v>
      </c>
      <c r="CP198" s="5">
        <v>0</v>
      </c>
      <c r="CQ198" s="5">
        <v>0.08</v>
      </c>
      <c r="CR198" s="5">
        <v>0.08</v>
      </c>
      <c r="CS198" s="5">
        <v>0.08</v>
      </c>
      <c r="CT198" s="5">
        <v>0.08</v>
      </c>
      <c r="CU198" s="5">
        <v>403302</v>
      </c>
      <c r="CV198" s="5">
        <v>0.08</v>
      </c>
      <c r="CW198" s="5">
        <v>1</v>
      </c>
      <c r="CX198" s="5">
        <v>0.08</v>
      </c>
      <c r="CY198" s="5" t="s">
        <v>961</v>
      </c>
      <c r="CZ198" s="5">
        <v>97</v>
      </c>
      <c r="DA198" s="5">
        <v>154</v>
      </c>
      <c r="DB198" s="5">
        <v>124</v>
      </c>
      <c r="DC198" s="5">
        <v>128</v>
      </c>
      <c r="DD198" s="5" t="s">
        <v>887</v>
      </c>
      <c r="DE198" s="5" t="s">
        <v>0</v>
      </c>
      <c r="DF198" s="5">
        <f t="shared" si="6"/>
        <v>195.84000000000032</v>
      </c>
      <c r="DG198" s="5">
        <v>196</v>
      </c>
      <c r="DH198" s="5">
        <f t="shared" si="7"/>
        <v>195.84000000000017</v>
      </c>
    </row>
    <row r="199" spans="1:112" hidden="1" x14ac:dyDescent="0.35">
      <c r="A199">
        <v>1024734738</v>
      </c>
      <c r="D199" t="s">
        <v>100</v>
      </c>
      <c r="E199" t="s">
        <v>99</v>
      </c>
      <c r="F199" t="s">
        <v>104</v>
      </c>
      <c r="G199" t="s">
        <v>103</v>
      </c>
      <c r="J199">
        <v>356562135</v>
      </c>
      <c r="AL199">
        <v>24734738</v>
      </c>
      <c r="AX199">
        <v>11</v>
      </c>
      <c r="AY199">
        <v>650582</v>
      </c>
      <c r="AZ199">
        <v>5500686</v>
      </c>
      <c r="BA199">
        <v>2560.3520689945699</v>
      </c>
      <c r="BB199" t="s">
        <v>951</v>
      </c>
      <c r="BC199" t="s">
        <v>950</v>
      </c>
      <c r="BD199" t="s">
        <v>94</v>
      </c>
      <c r="BF199" t="s">
        <v>960</v>
      </c>
      <c r="BG199">
        <v>7</v>
      </c>
      <c r="BH199" t="s">
        <v>959</v>
      </c>
      <c r="BI199">
        <v>5</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0.62799999999995104</v>
      </c>
      <c r="CM199">
        <v>0</v>
      </c>
      <c r="CN199">
        <v>0.02</v>
      </c>
      <c r="CO199">
        <v>0</v>
      </c>
      <c r="CP199">
        <v>0</v>
      </c>
      <c r="CQ199">
        <v>0.63</v>
      </c>
      <c r="CR199">
        <v>0.02</v>
      </c>
      <c r="CS199">
        <v>0.63</v>
      </c>
      <c r="CT199">
        <v>0.02</v>
      </c>
      <c r="CU199">
        <v>337904</v>
      </c>
      <c r="CV199">
        <v>0.63</v>
      </c>
      <c r="CW199">
        <v>6</v>
      </c>
      <c r="CX199">
        <v>0.105</v>
      </c>
      <c r="CY199" t="s">
        <v>948</v>
      </c>
      <c r="CZ199">
        <v>93</v>
      </c>
      <c r="DA199">
        <v>207</v>
      </c>
      <c r="DB199">
        <v>74</v>
      </c>
      <c r="DC199">
        <v>129</v>
      </c>
      <c r="DD199" t="s">
        <v>887</v>
      </c>
      <c r="DE199" t="s">
        <v>0</v>
      </c>
      <c r="DF199">
        <f t="shared" si="6"/>
        <v>195.94500000000031</v>
      </c>
      <c r="DG199">
        <v>197</v>
      </c>
      <c r="DH199">
        <f t="shared" si="7"/>
        <v>195.86000000000018</v>
      </c>
    </row>
    <row r="200" spans="1:112" hidden="1" x14ac:dyDescent="0.35">
      <c r="A200">
        <v>1024734740</v>
      </c>
      <c r="D200" t="s">
        <v>100</v>
      </c>
      <c r="E200" t="s">
        <v>99</v>
      </c>
      <c r="F200" t="s">
        <v>104</v>
      </c>
      <c r="G200" t="s">
        <v>103</v>
      </c>
      <c r="J200">
        <v>356562135</v>
      </c>
      <c r="AL200">
        <v>24734740</v>
      </c>
      <c r="AX200">
        <v>11</v>
      </c>
      <c r="AY200">
        <v>650591</v>
      </c>
      <c r="AZ200">
        <v>5500706</v>
      </c>
      <c r="BA200">
        <v>2582.2183277086501</v>
      </c>
      <c r="BB200" t="s">
        <v>951</v>
      </c>
      <c r="BC200" t="s">
        <v>950</v>
      </c>
      <c r="BD200" t="s">
        <v>94</v>
      </c>
      <c r="BF200" t="s">
        <v>958</v>
      </c>
      <c r="BG200">
        <v>8</v>
      </c>
      <c r="BH200" t="s">
        <v>957</v>
      </c>
      <c r="BI200">
        <v>4</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0.60599999999997101</v>
      </c>
      <c r="CM200">
        <v>0</v>
      </c>
      <c r="CN200">
        <v>0.02</v>
      </c>
      <c r="CO200">
        <v>0</v>
      </c>
      <c r="CP200">
        <v>0</v>
      </c>
      <c r="CQ200">
        <v>0.61</v>
      </c>
      <c r="CR200">
        <v>0.02</v>
      </c>
      <c r="CS200">
        <v>0.61</v>
      </c>
      <c r="CT200">
        <v>0.02</v>
      </c>
      <c r="CU200">
        <v>337904</v>
      </c>
      <c r="CV200">
        <v>0.63</v>
      </c>
      <c r="CW200">
        <v>6</v>
      </c>
      <c r="CX200">
        <v>0.105</v>
      </c>
      <c r="CY200" t="s">
        <v>948</v>
      </c>
      <c r="CZ200">
        <v>93</v>
      </c>
      <c r="DA200">
        <v>207</v>
      </c>
      <c r="DB200">
        <v>74</v>
      </c>
      <c r="DC200">
        <v>129</v>
      </c>
      <c r="DD200" t="s">
        <v>887</v>
      </c>
      <c r="DE200" t="s">
        <v>0</v>
      </c>
      <c r="DF200">
        <f t="shared" si="6"/>
        <v>196.0500000000003</v>
      </c>
      <c r="DG200">
        <v>198</v>
      </c>
      <c r="DH200">
        <f t="shared" si="7"/>
        <v>195.88000000000019</v>
      </c>
    </row>
    <row r="201" spans="1:112" hidden="1" x14ac:dyDescent="0.35">
      <c r="A201">
        <v>1024734739</v>
      </c>
      <c r="D201" t="s">
        <v>100</v>
      </c>
      <c r="E201" t="s">
        <v>99</v>
      </c>
      <c r="F201" t="s">
        <v>104</v>
      </c>
      <c r="G201" t="s">
        <v>103</v>
      </c>
      <c r="J201">
        <v>356562135</v>
      </c>
      <c r="AL201">
        <v>24734739</v>
      </c>
      <c r="AX201">
        <v>11</v>
      </c>
      <c r="AY201">
        <v>650600</v>
      </c>
      <c r="AZ201">
        <v>5500724</v>
      </c>
      <c r="BA201">
        <v>2602.0539538686799</v>
      </c>
      <c r="BB201" t="s">
        <v>951</v>
      </c>
      <c r="BC201" t="s">
        <v>950</v>
      </c>
      <c r="BD201" t="s">
        <v>94</v>
      </c>
      <c r="BF201" t="s">
        <v>956</v>
      </c>
      <c r="BG201">
        <v>9</v>
      </c>
      <c r="BH201" t="s">
        <v>955</v>
      </c>
      <c r="BI201">
        <v>3</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0.58599999999999497</v>
      </c>
      <c r="CM201">
        <v>0</v>
      </c>
      <c r="CN201">
        <v>0.01</v>
      </c>
      <c r="CO201">
        <v>0</v>
      </c>
      <c r="CP201">
        <v>0</v>
      </c>
      <c r="CQ201">
        <v>0.59</v>
      </c>
      <c r="CR201">
        <v>0.02</v>
      </c>
      <c r="CS201">
        <v>0.59</v>
      </c>
      <c r="CT201">
        <v>0.02</v>
      </c>
      <c r="CU201">
        <v>337904</v>
      </c>
      <c r="CV201">
        <v>0.63</v>
      </c>
      <c r="CW201">
        <v>6</v>
      </c>
      <c r="CX201">
        <v>0.105</v>
      </c>
      <c r="CY201" t="s">
        <v>948</v>
      </c>
      <c r="CZ201">
        <v>93</v>
      </c>
      <c r="DA201">
        <v>207</v>
      </c>
      <c r="DB201">
        <v>74</v>
      </c>
      <c r="DC201">
        <v>129</v>
      </c>
      <c r="DD201" t="s">
        <v>887</v>
      </c>
      <c r="DE201" t="s">
        <v>0</v>
      </c>
      <c r="DF201">
        <f t="shared" si="6"/>
        <v>196.15500000000029</v>
      </c>
      <c r="DG201">
        <v>199</v>
      </c>
      <c r="DH201">
        <f t="shared" si="7"/>
        <v>195.9000000000002</v>
      </c>
    </row>
    <row r="202" spans="1:112" hidden="1" x14ac:dyDescent="0.35">
      <c r="A202">
        <v>1024734741</v>
      </c>
      <c r="D202" t="s">
        <v>100</v>
      </c>
      <c r="E202" t="s">
        <v>99</v>
      </c>
      <c r="F202" t="s">
        <v>104</v>
      </c>
      <c r="G202" t="s">
        <v>103</v>
      </c>
      <c r="J202">
        <v>356562135</v>
      </c>
      <c r="AL202">
        <v>24734741</v>
      </c>
      <c r="AX202">
        <v>11</v>
      </c>
      <c r="AY202">
        <v>650607</v>
      </c>
      <c r="AZ202">
        <v>5500735</v>
      </c>
      <c r="BA202">
        <v>2615.3395244644698</v>
      </c>
      <c r="BB202" t="s">
        <v>951</v>
      </c>
      <c r="BC202" t="s">
        <v>950</v>
      </c>
      <c r="BD202" t="s">
        <v>94</v>
      </c>
      <c r="BF202" t="s">
        <v>954</v>
      </c>
      <c r="BG202">
        <v>10</v>
      </c>
      <c r="BH202" t="s">
        <v>953</v>
      </c>
      <c r="BI202">
        <v>2</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0.57300000000003204</v>
      </c>
      <c r="CM202">
        <v>0</v>
      </c>
      <c r="CN202">
        <v>0.23</v>
      </c>
      <c r="CO202">
        <v>0</v>
      </c>
      <c r="CP202">
        <v>0</v>
      </c>
      <c r="CQ202">
        <v>0.56999999999999995</v>
      </c>
      <c r="CR202">
        <v>0.22</v>
      </c>
      <c r="CS202">
        <v>0.56999999999999995</v>
      </c>
      <c r="CT202">
        <v>0.22</v>
      </c>
      <c r="CU202">
        <v>337904</v>
      </c>
      <c r="CV202">
        <v>0.63</v>
      </c>
      <c r="CW202">
        <v>6</v>
      </c>
      <c r="CX202">
        <v>0.105</v>
      </c>
      <c r="CY202" t="s">
        <v>948</v>
      </c>
      <c r="CZ202">
        <v>93</v>
      </c>
      <c r="DA202">
        <v>207</v>
      </c>
      <c r="DB202">
        <v>74</v>
      </c>
      <c r="DC202">
        <v>129</v>
      </c>
      <c r="DD202" t="s">
        <v>887</v>
      </c>
      <c r="DE202" t="s">
        <v>0</v>
      </c>
      <c r="DF202">
        <f t="shared" si="6"/>
        <v>196.26000000000028</v>
      </c>
      <c r="DG202">
        <v>200</v>
      </c>
      <c r="DH202">
        <f t="shared" si="7"/>
        <v>196.1200000000002</v>
      </c>
    </row>
    <row r="203" spans="1:112" hidden="1" x14ac:dyDescent="0.35">
      <c r="A203">
        <v>1024734755</v>
      </c>
      <c r="D203" t="s">
        <v>100</v>
      </c>
      <c r="E203" t="s">
        <v>99</v>
      </c>
      <c r="F203" t="s">
        <v>104</v>
      </c>
      <c r="G203" t="s">
        <v>103</v>
      </c>
      <c r="J203">
        <v>356562135</v>
      </c>
      <c r="AL203">
        <v>24734755</v>
      </c>
      <c r="AX203">
        <v>11</v>
      </c>
      <c r="AY203">
        <v>650691</v>
      </c>
      <c r="AZ203">
        <v>5500941</v>
      </c>
      <c r="BA203">
        <v>2840.71563241079</v>
      </c>
      <c r="BB203" t="s">
        <v>951</v>
      </c>
      <c r="BC203" t="s">
        <v>950</v>
      </c>
      <c r="BD203" t="s">
        <v>94</v>
      </c>
      <c r="BF203" t="s">
        <v>952</v>
      </c>
      <c r="BG203">
        <v>11</v>
      </c>
      <c r="BH203">
        <v>1024734756</v>
      </c>
      <c r="BI203">
        <v>1</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0.34699999999999398</v>
      </c>
      <c r="CM203">
        <v>0</v>
      </c>
      <c r="CN203">
        <v>0.18</v>
      </c>
      <c r="CO203">
        <v>0</v>
      </c>
      <c r="CP203">
        <v>0</v>
      </c>
      <c r="CQ203">
        <v>0.35</v>
      </c>
      <c r="CR203">
        <v>0.18</v>
      </c>
      <c r="CS203">
        <v>0.35</v>
      </c>
      <c r="CT203">
        <v>0.18</v>
      </c>
      <c r="CU203">
        <v>337904</v>
      </c>
      <c r="CV203">
        <v>0.63</v>
      </c>
      <c r="CW203">
        <v>6</v>
      </c>
      <c r="CX203">
        <v>0.105</v>
      </c>
      <c r="CY203" t="s">
        <v>948</v>
      </c>
      <c r="CZ203">
        <v>93</v>
      </c>
      <c r="DA203">
        <v>207</v>
      </c>
      <c r="DB203">
        <v>74</v>
      </c>
      <c r="DC203">
        <v>129</v>
      </c>
      <c r="DD203" t="s">
        <v>887</v>
      </c>
      <c r="DE203" t="s">
        <v>0</v>
      </c>
      <c r="DF203">
        <f t="shared" si="6"/>
        <v>196.36500000000026</v>
      </c>
      <c r="DG203">
        <v>201</v>
      </c>
      <c r="DH203">
        <f t="shared" si="7"/>
        <v>196.30000000000021</v>
      </c>
    </row>
    <row r="204" spans="1:112" hidden="1" x14ac:dyDescent="0.35">
      <c r="A204">
        <v>1024734756</v>
      </c>
      <c r="D204" t="s">
        <v>100</v>
      </c>
      <c r="E204" t="s">
        <v>99</v>
      </c>
      <c r="F204" t="s">
        <v>104</v>
      </c>
      <c r="G204" t="s">
        <v>103</v>
      </c>
      <c r="J204">
        <v>356562135</v>
      </c>
      <c r="AL204">
        <v>24734756</v>
      </c>
      <c r="AX204">
        <v>11</v>
      </c>
      <c r="AY204">
        <v>650750</v>
      </c>
      <c r="AZ204">
        <v>5501103</v>
      </c>
      <c r="BA204">
        <v>3017.0558969215099</v>
      </c>
      <c r="BB204" t="s">
        <v>951</v>
      </c>
      <c r="BC204" t="s">
        <v>950</v>
      </c>
      <c r="BD204" t="s">
        <v>94</v>
      </c>
      <c r="BF204" t="s">
        <v>949</v>
      </c>
      <c r="BG204">
        <v>12</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0.17100000000000101</v>
      </c>
      <c r="CM204">
        <v>0</v>
      </c>
      <c r="CN204">
        <v>0.17</v>
      </c>
      <c r="CO204">
        <v>0</v>
      </c>
      <c r="CP204">
        <v>0</v>
      </c>
      <c r="CQ204">
        <v>0.17</v>
      </c>
      <c r="CR204">
        <v>0.17</v>
      </c>
      <c r="CS204">
        <v>0.17</v>
      </c>
      <c r="CT204">
        <v>0.17</v>
      </c>
      <c r="CU204">
        <v>337904</v>
      </c>
      <c r="CV204">
        <v>0.63</v>
      </c>
      <c r="CW204">
        <v>6</v>
      </c>
      <c r="CX204">
        <v>0.105</v>
      </c>
      <c r="CY204" t="s">
        <v>948</v>
      </c>
      <c r="CZ204">
        <v>93</v>
      </c>
      <c r="DA204">
        <v>207</v>
      </c>
      <c r="DB204">
        <v>74</v>
      </c>
      <c r="DC204">
        <v>129</v>
      </c>
      <c r="DD204" t="s">
        <v>887</v>
      </c>
      <c r="DE204" t="s">
        <v>0</v>
      </c>
      <c r="DF204">
        <f t="shared" si="6"/>
        <v>196.47000000000025</v>
      </c>
      <c r="DG204">
        <v>202</v>
      </c>
      <c r="DH204">
        <f t="shared" si="7"/>
        <v>196.4700000000002</v>
      </c>
    </row>
    <row r="205" spans="1:112" hidden="1" x14ac:dyDescent="0.35">
      <c r="A205">
        <v>1004604062</v>
      </c>
      <c r="D205" t="s">
        <v>100</v>
      </c>
      <c r="E205" t="s">
        <v>99</v>
      </c>
      <c r="F205" t="s">
        <v>104</v>
      </c>
      <c r="G205" t="s">
        <v>103</v>
      </c>
      <c r="J205">
        <v>356557661</v>
      </c>
      <c r="AL205">
        <v>4604062</v>
      </c>
      <c r="AX205">
        <v>11</v>
      </c>
      <c r="AY205">
        <v>650924</v>
      </c>
      <c r="AZ205">
        <v>5564697</v>
      </c>
      <c r="BA205">
        <v>328.831190755156</v>
      </c>
      <c r="BB205" t="s">
        <v>947</v>
      </c>
      <c r="BC205" t="s">
        <v>947</v>
      </c>
      <c r="BD205" t="s">
        <v>94</v>
      </c>
      <c r="BE205" t="s">
        <v>946</v>
      </c>
      <c r="BF205" t="s">
        <v>320</v>
      </c>
      <c r="BG205">
        <v>2</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4.1462957316208297E-2</v>
      </c>
      <c r="CL205">
        <v>4.1462957316208297E-2</v>
      </c>
      <c r="CM205">
        <v>0.04</v>
      </c>
      <c r="CN205">
        <v>0.04</v>
      </c>
      <c r="CO205">
        <v>0.04</v>
      </c>
      <c r="CP205">
        <v>0.04</v>
      </c>
      <c r="CQ205">
        <v>0.04</v>
      </c>
      <c r="CR205">
        <v>0.04</v>
      </c>
      <c r="CS205">
        <v>0.04</v>
      </c>
      <c r="CT205">
        <v>0.04</v>
      </c>
      <c r="CU205">
        <v>191842</v>
      </c>
      <c r="CV205">
        <v>0.04</v>
      </c>
      <c r="CW205">
        <v>1</v>
      </c>
      <c r="CX205">
        <v>0.04</v>
      </c>
      <c r="CY205" t="s">
        <v>901</v>
      </c>
      <c r="CZ205">
        <v>99</v>
      </c>
      <c r="DA205">
        <v>155</v>
      </c>
      <c r="DB205">
        <v>128</v>
      </c>
      <c r="DC205">
        <v>130</v>
      </c>
      <c r="DD205" t="s">
        <v>887</v>
      </c>
      <c r="DE205" t="s">
        <v>0</v>
      </c>
      <c r="DF205">
        <f t="shared" si="6"/>
        <v>196.51000000000025</v>
      </c>
      <c r="DG205">
        <v>203</v>
      </c>
      <c r="DH205">
        <f t="shared" si="7"/>
        <v>196.51000000000019</v>
      </c>
    </row>
    <row r="206" spans="1:112" hidden="1" x14ac:dyDescent="0.35">
      <c r="A206">
        <v>1024734206</v>
      </c>
      <c r="D206" t="s">
        <v>100</v>
      </c>
      <c r="E206" t="s">
        <v>99</v>
      </c>
      <c r="F206" t="s">
        <v>104</v>
      </c>
      <c r="G206" t="s">
        <v>103</v>
      </c>
      <c r="J206">
        <v>356508661</v>
      </c>
      <c r="AL206">
        <v>24734206</v>
      </c>
      <c r="AX206">
        <v>11</v>
      </c>
      <c r="AY206">
        <v>649152</v>
      </c>
      <c r="AZ206">
        <v>5497754</v>
      </c>
      <c r="BA206">
        <v>355.068865124262</v>
      </c>
      <c r="BB206" t="s">
        <v>945</v>
      </c>
      <c r="BC206" t="s">
        <v>945</v>
      </c>
      <c r="BD206" t="s">
        <v>94</v>
      </c>
      <c r="BF206" t="s">
        <v>944</v>
      </c>
      <c r="BG206">
        <v>3</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0.189895285922488</v>
      </c>
      <c r="CM206">
        <v>0</v>
      </c>
      <c r="CN206">
        <v>0.19</v>
      </c>
      <c r="CO206">
        <v>0</v>
      </c>
      <c r="CP206">
        <v>0</v>
      </c>
      <c r="CQ206">
        <v>0.19</v>
      </c>
      <c r="CR206">
        <v>0.19</v>
      </c>
      <c r="CS206">
        <v>0.19</v>
      </c>
      <c r="CT206">
        <v>0.19</v>
      </c>
      <c r="CU206">
        <v>303022</v>
      </c>
      <c r="CV206">
        <v>0.19</v>
      </c>
      <c r="CW206">
        <v>1</v>
      </c>
      <c r="CX206">
        <v>0.19</v>
      </c>
      <c r="CY206" t="s">
        <v>943</v>
      </c>
      <c r="CZ206">
        <v>82</v>
      </c>
      <c r="DA206">
        <v>176</v>
      </c>
      <c r="DB206">
        <v>109</v>
      </c>
      <c r="DC206">
        <v>131</v>
      </c>
      <c r="DD206" t="s">
        <v>887</v>
      </c>
      <c r="DE206" t="s">
        <v>0</v>
      </c>
      <c r="DF206">
        <f t="shared" si="6"/>
        <v>196.70000000000024</v>
      </c>
      <c r="DG206">
        <v>204</v>
      </c>
      <c r="DH206">
        <f t="shared" si="7"/>
        <v>196.70000000000019</v>
      </c>
    </row>
    <row r="207" spans="1:112" hidden="1" x14ac:dyDescent="0.35">
      <c r="A207">
        <v>1004600041</v>
      </c>
      <c r="D207" t="s">
        <v>100</v>
      </c>
      <c r="E207" t="s">
        <v>120</v>
      </c>
      <c r="F207" t="s">
        <v>104</v>
      </c>
      <c r="G207" t="s">
        <v>103</v>
      </c>
      <c r="H207" t="s">
        <v>118</v>
      </c>
      <c r="J207">
        <v>356533147</v>
      </c>
      <c r="AL207">
        <v>4600041</v>
      </c>
      <c r="AX207">
        <v>11</v>
      </c>
      <c r="AY207">
        <v>650850</v>
      </c>
      <c r="AZ207">
        <v>5524835</v>
      </c>
      <c r="BA207">
        <v>2740.03959226084</v>
      </c>
      <c r="BB207" t="s">
        <v>942</v>
      </c>
      <c r="BC207" t="s">
        <v>941</v>
      </c>
      <c r="BD207" t="s">
        <v>94</v>
      </c>
      <c r="BE207" t="s">
        <v>940</v>
      </c>
      <c r="BF207" t="s">
        <v>939</v>
      </c>
      <c r="BG207">
        <v>4</v>
      </c>
      <c r="BL207">
        <v>24455370000013</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0.25954961096052298</v>
      </c>
      <c r="CL207">
        <v>0.25954961096052298</v>
      </c>
      <c r="CM207">
        <v>0.26</v>
      </c>
      <c r="CN207">
        <v>0.26</v>
      </c>
      <c r="CO207">
        <v>0.26</v>
      </c>
      <c r="CP207">
        <v>0.26</v>
      </c>
      <c r="CQ207">
        <v>0.26</v>
      </c>
      <c r="CR207">
        <v>0.26</v>
      </c>
      <c r="CS207">
        <v>0.26</v>
      </c>
      <c r="CT207">
        <v>0.26</v>
      </c>
      <c r="CU207">
        <v>15263</v>
      </c>
      <c r="CV207">
        <v>0.26</v>
      </c>
      <c r="CW207">
        <v>1</v>
      </c>
      <c r="CX207">
        <v>0.26</v>
      </c>
      <c r="CY207" t="s">
        <v>938</v>
      </c>
      <c r="CZ207">
        <v>74</v>
      </c>
      <c r="DA207">
        <v>188</v>
      </c>
      <c r="DB207">
        <v>98</v>
      </c>
      <c r="DC207">
        <v>132</v>
      </c>
      <c r="DD207" t="s">
        <v>887</v>
      </c>
      <c r="DE207" t="s">
        <v>0</v>
      </c>
      <c r="DF207">
        <f t="shared" si="6"/>
        <v>196.96000000000024</v>
      </c>
      <c r="DG207">
        <v>205</v>
      </c>
      <c r="DH207">
        <f t="shared" si="7"/>
        <v>196.96000000000018</v>
      </c>
    </row>
    <row r="208" spans="1:112" hidden="1" x14ac:dyDescent="0.35">
      <c r="A208">
        <v>1004606710</v>
      </c>
      <c r="D208" t="s">
        <v>100</v>
      </c>
      <c r="E208" t="s">
        <v>180</v>
      </c>
      <c r="F208" t="s">
        <v>104</v>
      </c>
      <c r="G208" t="s">
        <v>103</v>
      </c>
      <c r="I208" t="s">
        <v>7</v>
      </c>
      <c r="J208">
        <v>356495329</v>
      </c>
      <c r="AL208">
        <v>4606710</v>
      </c>
      <c r="AX208">
        <v>11</v>
      </c>
      <c r="AY208">
        <v>654029</v>
      </c>
      <c r="AZ208">
        <v>5545289</v>
      </c>
      <c r="BA208">
        <v>284.22446994680899</v>
      </c>
      <c r="BB208" t="s">
        <v>937</v>
      </c>
      <c r="BC208" t="s">
        <v>937</v>
      </c>
      <c r="BD208" t="s">
        <v>94</v>
      </c>
      <c r="BF208" t="s">
        <v>936</v>
      </c>
      <c r="BG208">
        <v>2</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3.3744087343593701E-2</v>
      </c>
      <c r="CL208">
        <v>0</v>
      </c>
      <c r="CM208">
        <v>0.03</v>
      </c>
      <c r="CN208">
        <v>0</v>
      </c>
      <c r="CO208">
        <v>0.03</v>
      </c>
      <c r="CP208">
        <v>0.03</v>
      </c>
      <c r="CQ208">
        <v>0</v>
      </c>
      <c r="CR208">
        <v>0</v>
      </c>
      <c r="CS208">
        <v>0.03</v>
      </c>
      <c r="CT208">
        <v>0.03</v>
      </c>
      <c r="CU208">
        <v>239803</v>
      </c>
      <c r="CV208">
        <v>0.03</v>
      </c>
      <c r="CW208">
        <v>1</v>
      </c>
      <c r="CX208">
        <v>0.03</v>
      </c>
      <c r="CY208" t="s">
        <v>935</v>
      </c>
      <c r="CZ208">
        <v>100</v>
      </c>
      <c r="DA208">
        <v>156</v>
      </c>
      <c r="DB208">
        <v>133</v>
      </c>
      <c r="DC208">
        <v>133</v>
      </c>
      <c r="DD208" t="s">
        <v>887</v>
      </c>
      <c r="DE208" t="s">
        <v>0</v>
      </c>
      <c r="DF208">
        <f t="shared" si="6"/>
        <v>196.99000000000024</v>
      </c>
      <c r="DG208">
        <v>206</v>
      </c>
      <c r="DH208">
        <f t="shared" si="7"/>
        <v>196.99000000000018</v>
      </c>
    </row>
    <row r="209" spans="1:113" hidden="1" x14ac:dyDescent="0.35">
      <c r="A209">
        <v>1004604943</v>
      </c>
      <c r="D209" t="s">
        <v>100</v>
      </c>
      <c r="E209" t="s">
        <v>99</v>
      </c>
      <c r="F209" t="s">
        <v>104</v>
      </c>
      <c r="G209" t="s">
        <v>103</v>
      </c>
      <c r="J209">
        <v>356562540</v>
      </c>
      <c r="AL209">
        <v>4604943</v>
      </c>
      <c r="AX209">
        <v>11</v>
      </c>
      <c r="AY209">
        <v>653571</v>
      </c>
      <c r="AZ209">
        <v>5545843</v>
      </c>
      <c r="BA209">
        <v>545.48824145495701</v>
      </c>
      <c r="BB209" t="s">
        <v>934</v>
      </c>
      <c r="BC209" t="s">
        <v>934</v>
      </c>
      <c r="BD209" t="s">
        <v>94</v>
      </c>
      <c r="BE209" t="s">
        <v>933</v>
      </c>
      <c r="BF209" t="s">
        <v>932</v>
      </c>
      <c r="BG209">
        <v>2</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3.1999999999981203E-2</v>
      </c>
      <c r="CM209">
        <v>0</v>
      </c>
      <c r="CN209">
        <v>0.03</v>
      </c>
      <c r="CO209">
        <v>0</v>
      </c>
      <c r="CP209">
        <v>0</v>
      </c>
      <c r="CQ209">
        <v>0.03</v>
      </c>
      <c r="CR209">
        <v>0.03</v>
      </c>
      <c r="CS209">
        <v>0.03</v>
      </c>
      <c r="CT209">
        <v>0.03</v>
      </c>
      <c r="CU209">
        <v>207103</v>
      </c>
      <c r="CV209">
        <v>0.03</v>
      </c>
      <c r="CW209">
        <v>1</v>
      </c>
      <c r="CX209">
        <v>0.03</v>
      </c>
      <c r="CY209" t="s">
        <v>931</v>
      </c>
      <c r="CZ209">
        <v>100</v>
      </c>
      <c r="DA209">
        <v>157</v>
      </c>
      <c r="DB209">
        <v>135</v>
      </c>
      <c r="DC209">
        <v>134</v>
      </c>
      <c r="DD209" t="s">
        <v>887</v>
      </c>
      <c r="DE209" t="s">
        <v>0</v>
      </c>
      <c r="DF209">
        <f t="shared" si="6"/>
        <v>197.02000000000024</v>
      </c>
      <c r="DG209">
        <v>207</v>
      </c>
      <c r="DH209">
        <f t="shared" si="7"/>
        <v>197.02000000000018</v>
      </c>
    </row>
    <row r="210" spans="1:113" hidden="1" x14ac:dyDescent="0.35">
      <c r="A210">
        <v>50276</v>
      </c>
      <c r="D210" t="s">
        <v>121</v>
      </c>
      <c r="E210" t="s">
        <v>99</v>
      </c>
      <c r="F210" t="s">
        <v>104</v>
      </c>
      <c r="G210" t="s">
        <v>103</v>
      </c>
      <c r="J210">
        <v>356552233</v>
      </c>
      <c r="AM210" t="s">
        <v>114</v>
      </c>
      <c r="AN210" t="s">
        <v>113</v>
      </c>
      <c r="AO210" t="s">
        <v>761</v>
      </c>
      <c r="AP210" t="s">
        <v>853</v>
      </c>
      <c r="AQ210" t="s">
        <v>930</v>
      </c>
      <c r="AR210" s="1">
        <v>40822</v>
      </c>
      <c r="AX210">
        <v>11</v>
      </c>
      <c r="AY210">
        <v>659942</v>
      </c>
      <c r="AZ210">
        <v>5499986</v>
      </c>
      <c r="BA210">
        <v>465</v>
      </c>
      <c r="BB210" t="s">
        <v>926</v>
      </c>
      <c r="BC210" t="s">
        <v>925</v>
      </c>
      <c r="BD210" t="s">
        <v>94</v>
      </c>
      <c r="BF210" t="s">
        <v>929</v>
      </c>
      <c r="BG210">
        <v>4</v>
      </c>
      <c r="BH210">
        <v>50277</v>
      </c>
      <c r="BI210">
        <v>1</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0.21600065347195699</v>
      </c>
      <c r="CM210">
        <v>0</v>
      </c>
      <c r="CN210">
        <v>0.01</v>
      </c>
      <c r="CO210">
        <v>0</v>
      </c>
      <c r="CP210">
        <v>0</v>
      </c>
      <c r="CQ210">
        <v>0.22</v>
      </c>
      <c r="CR210">
        <v>0.01</v>
      </c>
      <c r="CS210">
        <v>0.22</v>
      </c>
      <c r="CT210">
        <v>0.01</v>
      </c>
      <c r="CU210">
        <v>82843</v>
      </c>
      <c r="CV210">
        <v>0.22</v>
      </c>
      <c r="CW210">
        <v>2</v>
      </c>
      <c r="CX210">
        <v>0.11</v>
      </c>
      <c r="CY210" t="s">
        <v>923</v>
      </c>
      <c r="CZ210">
        <v>92</v>
      </c>
      <c r="DA210">
        <v>192</v>
      </c>
      <c r="DB210">
        <v>102</v>
      </c>
      <c r="DC210">
        <v>135</v>
      </c>
      <c r="DD210" t="s">
        <v>887</v>
      </c>
      <c r="DE210" t="s">
        <v>0</v>
      </c>
      <c r="DF210">
        <f t="shared" si="6"/>
        <v>197.13000000000025</v>
      </c>
      <c r="DG210">
        <v>208</v>
      </c>
      <c r="DH210">
        <f t="shared" si="7"/>
        <v>197.03000000000017</v>
      </c>
    </row>
    <row r="211" spans="1:113" hidden="1" x14ac:dyDescent="0.35">
      <c r="A211">
        <v>50277</v>
      </c>
      <c r="D211" t="s">
        <v>121</v>
      </c>
      <c r="E211" t="s">
        <v>99</v>
      </c>
      <c r="F211" t="s">
        <v>104</v>
      </c>
      <c r="G211" t="s">
        <v>119</v>
      </c>
      <c r="J211">
        <v>356552233</v>
      </c>
      <c r="AL211">
        <v>4602457</v>
      </c>
      <c r="AM211" t="s">
        <v>114</v>
      </c>
      <c r="AN211" t="s">
        <v>113</v>
      </c>
      <c r="AO211" t="s">
        <v>928</v>
      </c>
      <c r="AP211" t="s">
        <v>853</v>
      </c>
      <c r="AQ211" t="s">
        <v>927</v>
      </c>
      <c r="AR211" s="1">
        <v>40822</v>
      </c>
      <c r="AX211">
        <v>11</v>
      </c>
      <c r="AY211">
        <v>659946</v>
      </c>
      <c r="AZ211">
        <v>5499977</v>
      </c>
      <c r="BA211">
        <v>474</v>
      </c>
      <c r="BB211" t="s">
        <v>926</v>
      </c>
      <c r="BC211" t="s">
        <v>925</v>
      </c>
      <c r="BD211" t="s">
        <v>94</v>
      </c>
      <c r="BF211" t="s">
        <v>924</v>
      </c>
      <c r="BG211">
        <v>5</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0.207000653471963</v>
      </c>
      <c r="CM211">
        <v>0</v>
      </c>
      <c r="CN211">
        <v>0.21</v>
      </c>
      <c r="CO211">
        <v>0</v>
      </c>
      <c r="CP211">
        <v>0</v>
      </c>
      <c r="CQ211">
        <v>0.21</v>
      </c>
      <c r="CR211">
        <v>0.21</v>
      </c>
      <c r="CS211">
        <v>0.21</v>
      </c>
      <c r="CT211">
        <v>0.21</v>
      </c>
      <c r="CU211">
        <v>82843</v>
      </c>
      <c r="CV211">
        <v>0.22</v>
      </c>
      <c r="CW211">
        <v>2</v>
      </c>
      <c r="CX211">
        <v>0.11</v>
      </c>
      <c r="CY211" t="s">
        <v>923</v>
      </c>
      <c r="CZ211">
        <v>92</v>
      </c>
      <c r="DA211">
        <v>192</v>
      </c>
      <c r="DB211">
        <v>102</v>
      </c>
      <c r="DC211">
        <v>135</v>
      </c>
      <c r="DD211" t="s">
        <v>887</v>
      </c>
      <c r="DE211" t="s">
        <v>0</v>
      </c>
      <c r="DF211">
        <f t="shared" si="6"/>
        <v>197.24000000000026</v>
      </c>
      <c r="DG211">
        <v>209</v>
      </c>
      <c r="DH211">
        <f t="shared" si="7"/>
        <v>197.24000000000018</v>
      </c>
    </row>
    <row r="212" spans="1:113" hidden="1" x14ac:dyDescent="0.35">
      <c r="A212">
        <v>1004602198</v>
      </c>
      <c r="D212" t="s">
        <v>100</v>
      </c>
      <c r="E212" t="s">
        <v>99</v>
      </c>
      <c r="F212" t="s">
        <v>104</v>
      </c>
      <c r="G212" t="s">
        <v>103</v>
      </c>
      <c r="J212">
        <v>356549331</v>
      </c>
      <c r="AL212">
        <v>4602198</v>
      </c>
      <c r="AX212">
        <v>11</v>
      </c>
      <c r="AY212">
        <v>648367</v>
      </c>
      <c r="AZ212">
        <v>5478303</v>
      </c>
      <c r="BA212">
        <v>7179.0734734626803</v>
      </c>
      <c r="BB212" t="s">
        <v>515</v>
      </c>
      <c r="BC212" t="s">
        <v>922</v>
      </c>
      <c r="BD212" t="s">
        <v>94</v>
      </c>
      <c r="BF212" t="s">
        <v>921</v>
      </c>
      <c r="BG212">
        <v>2</v>
      </c>
      <c r="BL212">
        <v>24617210003773</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2.2059643288686499E-2</v>
      </c>
      <c r="CL212">
        <v>2.2059643288686499E-2</v>
      </c>
      <c r="CM212">
        <v>0.02</v>
      </c>
      <c r="CN212">
        <v>0.02</v>
      </c>
      <c r="CO212">
        <v>0.02</v>
      </c>
      <c r="CP212">
        <v>0.02</v>
      </c>
      <c r="CQ212">
        <v>0.02</v>
      </c>
      <c r="CR212">
        <v>0.02</v>
      </c>
      <c r="CS212">
        <v>0.02</v>
      </c>
      <c r="CT212">
        <v>0.02</v>
      </c>
      <c r="CU212">
        <v>152603</v>
      </c>
      <c r="CV212">
        <v>0.02</v>
      </c>
      <c r="CW212">
        <v>1</v>
      </c>
      <c r="CX212">
        <v>0.02</v>
      </c>
      <c r="CY212" t="s">
        <v>920</v>
      </c>
      <c r="CZ212">
        <v>102</v>
      </c>
      <c r="DA212">
        <v>160</v>
      </c>
      <c r="DB212">
        <v>136</v>
      </c>
      <c r="DC212">
        <v>136</v>
      </c>
      <c r="DD212" t="s">
        <v>887</v>
      </c>
      <c r="DE212" t="s">
        <v>0</v>
      </c>
      <c r="DF212">
        <f t="shared" si="6"/>
        <v>197.26000000000028</v>
      </c>
      <c r="DG212">
        <v>210</v>
      </c>
      <c r="DH212">
        <f t="shared" si="7"/>
        <v>197.26000000000019</v>
      </c>
    </row>
    <row r="213" spans="1:113" s="5" customFormat="1" hidden="1" x14ac:dyDescent="0.35">
      <c r="A213" s="5">
        <v>199906</v>
      </c>
      <c r="B213" s="5">
        <v>199906</v>
      </c>
      <c r="D213" s="5" t="s">
        <v>121</v>
      </c>
      <c r="E213" s="5" t="s">
        <v>120</v>
      </c>
      <c r="F213" s="5" t="s">
        <v>104</v>
      </c>
      <c r="G213" s="5" t="s">
        <v>119</v>
      </c>
      <c r="H213" s="5" t="s">
        <v>919</v>
      </c>
      <c r="J213" s="5">
        <v>356482509</v>
      </c>
      <c r="K213" s="5" t="s">
        <v>912</v>
      </c>
      <c r="L213" s="5" t="s">
        <v>918</v>
      </c>
      <c r="M213" s="5" t="s">
        <v>39</v>
      </c>
      <c r="P213" s="5" t="s">
        <v>38</v>
      </c>
      <c r="Q213" s="5" t="s">
        <v>4</v>
      </c>
      <c r="V213" s="5" t="s">
        <v>51</v>
      </c>
      <c r="AE213" s="5" t="s">
        <v>35</v>
      </c>
      <c r="AI213" s="5" t="s">
        <v>917</v>
      </c>
      <c r="AK213" s="5" t="s">
        <v>916</v>
      </c>
      <c r="AL213" s="5">
        <v>4600366</v>
      </c>
      <c r="AM213" s="5" t="s">
        <v>114</v>
      </c>
      <c r="AN213" s="5" t="s">
        <v>113</v>
      </c>
      <c r="AP213" s="5" t="s">
        <v>912</v>
      </c>
      <c r="AQ213" s="5" t="s">
        <v>915</v>
      </c>
      <c r="AR213" s="6">
        <v>45517</v>
      </c>
      <c r="AX213" s="5">
        <v>11</v>
      </c>
      <c r="AY213" s="5">
        <v>642865</v>
      </c>
      <c r="AZ213" s="5">
        <v>5490833</v>
      </c>
      <c r="BA213" s="5">
        <v>2860</v>
      </c>
      <c r="BB213" s="5" t="s">
        <v>914</v>
      </c>
      <c r="BC213" s="5" t="s">
        <v>913</v>
      </c>
      <c r="BD213" s="5" t="s">
        <v>94</v>
      </c>
      <c r="BE213" s="5" t="s">
        <v>912</v>
      </c>
      <c r="BF213" s="5" t="s">
        <v>911</v>
      </c>
      <c r="BG213" s="5">
        <v>3</v>
      </c>
      <c r="BM213" s="5">
        <v>0</v>
      </c>
      <c r="BN213" s="5">
        <v>0</v>
      </c>
      <c r="BO213" s="5">
        <v>0</v>
      </c>
      <c r="BP213" s="5">
        <v>0</v>
      </c>
      <c r="BQ213" s="5">
        <v>0</v>
      </c>
      <c r="BR213" s="5">
        <v>0</v>
      </c>
      <c r="BS213" s="5">
        <v>0</v>
      </c>
      <c r="BT213" s="5">
        <v>0</v>
      </c>
      <c r="BU213" s="5">
        <v>0</v>
      </c>
      <c r="BV213" s="5">
        <v>0</v>
      </c>
      <c r="BW213" s="5">
        <v>0</v>
      </c>
      <c r="BX213" s="5">
        <v>0</v>
      </c>
      <c r="BY213" s="5">
        <v>0</v>
      </c>
      <c r="BZ213" s="5">
        <v>0</v>
      </c>
      <c r="CA213" s="5">
        <v>0</v>
      </c>
      <c r="CB213" s="5">
        <v>0</v>
      </c>
      <c r="CC213" s="5">
        <v>0</v>
      </c>
      <c r="CD213" s="5">
        <v>0</v>
      </c>
      <c r="CE213" s="5">
        <v>0</v>
      </c>
      <c r="CF213" s="5">
        <v>0</v>
      </c>
      <c r="CG213" s="5">
        <v>0</v>
      </c>
      <c r="CH213" s="5">
        <v>0</v>
      </c>
      <c r="CI213" s="5">
        <v>0</v>
      </c>
      <c r="CJ213" s="5">
        <v>0</v>
      </c>
      <c r="CK213" s="5">
        <v>0</v>
      </c>
      <c r="CL213" s="5">
        <v>0.12799999999999101</v>
      </c>
      <c r="CM213" s="5">
        <v>0</v>
      </c>
      <c r="CN213" s="5">
        <v>0.13</v>
      </c>
      <c r="CO213" s="5">
        <v>0</v>
      </c>
      <c r="CP213" s="5">
        <v>0</v>
      </c>
      <c r="CQ213" s="5">
        <v>0.13</v>
      </c>
      <c r="CR213" s="5">
        <v>0.13</v>
      </c>
      <c r="CS213" s="5">
        <v>0.13</v>
      </c>
      <c r="CT213" s="5">
        <v>0.13</v>
      </c>
      <c r="CU213" s="5">
        <v>405484</v>
      </c>
      <c r="CV213" s="5">
        <v>0.13</v>
      </c>
      <c r="CW213" s="5">
        <v>1</v>
      </c>
      <c r="CX213" s="5">
        <v>0.13</v>
      </c>
      <c r="CY213" s="5" t="s">
        <v>910</v>
      </c>
      <c r="CZ213" s="5">
        <v>89</v>
      </c>
      <c r="DA213" s="5">
        <v>178</v>
      </c>
      <c r="DB213" s="5">
        <v>118</v>
      </c>
      <c r="DC213" s="5">
        <v>137</v>
      </c>
      <c r="DD213" s="5" t="s">
        <v>887</v>
      </c>
      <c r="DE213" s="5" t="s">
        <v>0</v>
      </c>
      <c r="DF213" s="5">
        <f t="shared" si="6"/>
        <v>197.39000000000027</v>
      </c>
      <c r="DG213" s="5">
        <v>211</v>
      </c>
      <c r="DH213" s="5">
        <f t="shared" si="7"/>
        <v>197.39000000000019</v>
      </c>
    </row>
    <row r="214" spans="1:113" hidden="1" x14ac:dyDescent="0.35">
      <c r="A214">
        <v>1004606418</v>
      </c>
      <c r="D214" t="s">
        <v>100</v>
      </c>
      <c r="E214" t="s">
        <v>99</v>
      </c>
      <c r="F214" t="s">
        <v>104</v>
      </c>
      <c r="G214" t="s">
        <v>103</v>
      </c>
      <c r="J214">
        <v>356528119</v>
      </c>
      <c r="AL214">
        <v>4606418</v>
      </c>
      <c r="AX214">
        <v>11</v>
      </c>
      <c r="AY214">
        <v>661656</v>
      </c>
      <c r="AZ214">
        <v>5524409</v>
      </c>
      <c r="BA214">
        <v>10500.4403257832</v>
      </c>
      <c r="BB214" t="s">
        <v>295</v>
      </c>
      <c r="BC214" t="s">
        <v>905</v>
      </c>
      <c r="BD214" t="s">
        <v>94</v>
      </c>
      <c r="BE214" t="s">
        <v>293</v>
      </c>
      <c r="BF214" t="s">
        <v>909</v>
      </c>
      <c r="BG214">
        <v>4</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0.203999999999984</v>
      </c>
      <c r="CL214">
        <v>0.203999999999984</v>
      </c>
      <c r="CM214">
        <v>0.03</v>
      </c>
      <c r="CN214">
        <v>0.03</v>
      </c>
      <c r="CO214">
        <v>0.2</v>
      </c>
      <c r="CP214">
        <v>0.03</v>
      </c>
      <c r="CQ214">
        <v>0.2</v>
      </c>
      <c r="CR214">
        <v>0.03</v>
      </c>
      <c r="CS214">
        <v>0.2</v>
      </c>
      <c r="CT214">
        <v>0.03</v>
      </c>
      <c r="CU214">
        <v>459984</v>
      </c>
      <c r="CV214">
        <v>0.2</v>
      </c>
      <c r="CW214">
        <v>2</v>
      </c>
      <c r="CX214">
        <v>0.1</v>
      </c>
      <c r="CY214" t="s">
        <v>903</v>
      </c>
      <c r="CZ214">
        <v>94</v>
      </c>
      <c r="DA214">
        <v>193</v>
      </c>
      <c r="DB214">
        <v>106</v>
      </c>
      <c r="DC214">
        <v>138</v>
      </c>
      <c r="DD214" t="s">
        <v>887</v>
      </c>
      <c r="DE214" t="s">
        <v>0</v>
      </c>
      <c r="DF214">
        <f t="shared" si="6"/>
        <v>197.49000000000026</v>
      </c>
      <c r="DG214">
        <v>212</v>
      </c>
      <c r="DH214">
        <f t="shared" si="7"/>
        <v>197.42000000000019</v>
      </c>
    </row>
    <row r="215" spans="1:113" s="5" customFormat="1" hidden="1" x14ac:dyDescent="0.35">
      <c r="A215" s="5">
        <v>62426</v>
      </c>
      <c r="B215" s="5">
        <v>62426</v>
      </c>
      <c r="D215" s="5" t="s">
        <v>121</v>
      </c>
      <c r="E215" s="5" t="s">
        <v>99</v>
      </c>
      <c r="F215" s="5" t="s">
        <v>104</v>
      </c>
      <c r="G215" s="5" t="s">
        <v>119</v>
      </c>
      <c r="J215" s="5">
        <v>356528119</v>
      </c>
      <c r="K215" s="5" t="s">
        <v>293</v>
      </c>
      <c r="L215" s="5" t="s">
        <v>273</v>
      </c>
      <c r="M215" s="5" t="s">
        <v>39</v>
      </c>
      <c r="P215" s="5" t="s">
        <v>38</v>
      </c>
      <c r="Q215" s="5" t="s">
        <v>37</v>
      </c>
      <c r="V215" s="5" t="s">
        <v>36</v>
      </c>
      <c r="AI215" s="5" t="s">
        <v>908</v>
      </c>
      <c r="AK215" s="5" t="s">
        <v>907</v>
      </c>
      <c r="AM215" s="5" t="s">
        <v>782</v>
      </c>
      <c r="AN215" s="5" t="s">
        <v>113</v>
      </c>
      <c r="AO215" s="5" t="s">
        <v>273</v>
      </c>
      <c r="AP215" s="5" t="s">
        <v>293</v>
      </c>
      <c r="AQ215" s="5" t="s">
        <v>906</v>
      </c>
      <c r="AR215" s="6">
        <v>44094</v>
      </c>
      <c r="AX215" s="5">
        <v>11</v>
      </c>
      <c r="AY215" s="5">
        <v>661663</v>
      </c>
      <c r="AZ215" s="5">
        <v>5524440</v>
      </c>
      <c r="BA215" s="5">
        <v>10532</v>
      </c>
      <c r="BB215" s="5" t="s">
        <v>295</v>
      </c>
      <c r="BC215" s="5" t="s">
        <v>905</v>
      </c>
      <c r="BD215" s="5" t="s">
        <v>94</v>
      </c>
      <c r="BE215" s="5" t="s">
        <v>293</v>
      </c>
      <c r="BF215" s="5" t="s">
        <v>904</v>
      </c>
      <c r="BG215" s="5">
        <v>5</v>
      </c>
      <c r="BM215" s="5">
        <v>0</v>
      </c>
      <c r="BN215" s="5">
        <v>0</v>
      </c>
      <c r="BO215" s="5">
        <v>0</v>
      </c>
      <c r="BP215" s="5">
        <v>0</v>
      </c>
      <c r="BQ215" s="5">
        <v>0</v>
      </c>
      <c r="BR215" s="5">
        <v>0</v>
      </c>
      <c r="BS215" s="5">
        <v>0</v>
      </c>
      <c r="BT215" s="5">
        <v>0</v>
      </c>
      <c r="BU215" s="5">
        <v>0</v>
      </c>
      <c r="BV215" s="5">
        <v>0</v>
      </c>
      <c r="BW215" s="5">
        <v>0</v>
      </c>
      <c r="BX215" s="5">
        <v>0</v>
      </c>
      <c r="BY215" s="5">
        <v>0</v>
      </c>
      <c r="BZ215" s="5">
        <v>0</v>
      </c>
      <c r="CA215" s="5">
        <v>0</v>
      </c>
      <c r="CB215" s="5">
        <v>0</v>
      </c>
      <c r="CC215" s="5">
        <v>0</v>
      </c>
      <c r="CD215" s="5">
        <v>0</v>
      </c>
      <c r="CE215" s="5">
        <v>0</v>
      </c>
      <c r="CF215" s="5">
        <v>0</v>
      </c>
      <c r="CG215" s="5">
        <v>0</v>
      </c>
      <c r="CH215" s="5">
        <v>0</v>
      </c>
      <c r="CI215" s="5">
        <v>0</v>
      </c>
      <c r="CJ215" s="5">
        <v>0</v>
      </c>
      <c r="CK215" s="5">
        <v>0.17200000000002899</v>
      </c>
      <c r="CL215" s="5">
        <v>0.17200000000002899</v>
      </c>
      <c r="CM215" s="5">
        <v>0.17</v>
      </c>
      <c r="CN215" s="5">
        <v>0.17</v>
      </c>
      <c r="CO215" s="5">
        <v>0.17</v>
      </c>
      <c r="CP215" s="5">
        <v>0.17</v>
      </c>
      <c r="CQ215" s="5">
        <v>0.17</v>
      </c>
      <c r="CR215" s="5">
        <v>0.17</v>
      </c>
      <c r="CS215" s="5">
        <v>0.17</v>
      </c>
      <c r="CT215" s="5">
        <v>0.17</v>
      </c>
      <c r="CU215" s="5">
        <v>459984</v>
      </c>
      <c r="CV215" s="5">
        <v>0.2</v>
      </c>
      <c r="CW215" s="5">
        <v>2</v>
      </c>
      <c r="CX215" s="5">
        <v>0.1</v>
      </c>
      <c r="CY215" s="5" t="s">
        <v>903</v>
      </c>
      <c r="CZ215" s="5">
        <v>94</v>
      </c>
      <c r="DA215" s="5">
        <v>193</v>
      </c>
      <c r="DB215" s="5">
        <v>106</v>
      </c>
      <c r="DC215" s="5">
        <v>138</v>
      </c>
      <c r="DD215" s="5" t="s">
        <v>887</v>
      </c>
      <c r="DE215" s="5" t="s">
        <v>0</v>
      </c>
      <c r="DF215" s="5">
        <f t="shared" si="6"/>
        <v>197.59000000000026</v>
      </c>
      <c r="DG215" s="5">
        <v>213</v>
      </c>
      <c r="DH215" s="5">
        <f t="shared" si="7"/>
        <v>197.59000000000017</v>
      </c>
    </row>
    <row r="216" spans="1:113" hidden="1" x14ac:dyDescent="0.35">
      <c r="A216">
        <v>1024706649</v>
      </c>
      <c r="D216" t="s">
        <v>100</v>
      </c>
      <c r="E216" t="s">
        <v>99</v>
      </c>
      <c r="F216" t="s">
        <v>104</v>
      </c>
      <c r="G216" t="s">
        <v>103</v>
      </c>
      <c r="J216">
        <v>356561443</v>
      </c>
      <c r="AL216">
        <v>24706649</v>
      </c>
      <c r="AX216">
        <v>11</v>
      </c>
      <c r="AY216">
        <v>653617</v>
      </c>
      <c r="AZ216">
        <v>5570027</v>
      </c>
      <c r="BA216">
        <v>823.63478375335103</v>
      </c>
      <c r="BB216" t="s">
        <v>902</v>
      </c>
      <c r="BC216" t="s">
        <v>902</v>
      </c>
      <c r="BD216" t="s">
        <v>94</v>
      </c>
      <c r="BF216" t="s">
        <v>320</v>
      </c>
      <c r="BG216">
        <v>2</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5.04999227958509E-3</v>
      </c>
      <c r="CM216">
        <v>0</v>
      </c>
      <c r="CN216">
        <v>0.01</v>
      </c>
      <c r="CO216">
        <v>0</v>
      </c>
      <c r="CP216">
        <v>0</v>
      </c>
      <c r="CQ216">
        <v>0.01</v>
      </c>
      <c r="CR216">
        <v>0.01</v>
      </c>
      <c r="CS216">
        <v>0.01</v>
      </c>
      <c r="CT216">
        <v>0.01</v>
      </c>
      <c r="CU216">
        <v>294302</v>
      </c>
      <c r="CV216">
        <v>0.01</v>
      </c>
      <c r="CW216">
        <v>1</v>
      </c>
      <c r="CX216">
        <v>0.01</v>
      </c>
      <c r="CY216" t="s">
        <v>901</v>
      </c>
      <c r="CZ216">
        <v>103</v>
      </c>
      <c r="DA216">
        <v>161</v>
      </c>
      <c r="DB216">
        <v>140</v>
      </c>
      <c r="DC216">
        <v>139</v>
      </c>
      <c r="DD216" t="s">
        <v>887</v>
      </c>
      <c r="DE216" t="s">
        <v>0</v>
      </c>
      <c r="DF216">
        <f t="shared" si="6"/>
        <v>197.60000000000025</v>
      </c>
      <c r="DG216">
        <v>214</v>
      </c>
      <c r="DH216">
        <f t="shared" si="7"/>
        <v>197.60000000000016</v>
      </c>
    </row>
    <row r="217" spans="1:113" hidden="1" x14ac:dyDescent="0.35">
      <c r="A217">
        <v>1004604257</v>
      </c>
      <c r="D217" t="s">
        <v>100</v>
      </c>
      <c r="E217" t="s">
        <v>99</v>
      </c>
      <c r="F217" t="s">
        <v>104</v>
      </c>
      <c r="G217" t="s">
        <v>103</v>
      </c>
      <c r="J217">
        <v>356525031</v>
      </c>
      <c r="AL217">
        <v>4604257</v>
      </c>
      <c r="AX217">
        <v>11</v>
      </c>
      <c r="AY217">
        <v>664560</v>
      </c>
      <c r="AZ217">
        <v>5501903</v>
      </c>
      <c r="BA217">
        <v>255.49104226405399</v>
      </c>
      <c r="BB217" t="s">
        <v>900</v>
      </c>
      <c r="BC217" t="s">
        <v>900</v>
      </c>
      <c r="BD217" t="s">
        <v>94</v>
      </c>
      <c r="BF217" t="s">
        <v>899</v>
      </c>
      <c r="BG217">
        <v>3</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8.6999999999997801E-2</v>
      </c>
      <c r="CM217">
        <v>0</v>
      </c>
      <c r="CN217">
        <v>0.09</v>
      </c>
      <c r="CO217">
        <v>0</v>
      </c>
      <c r="CP217">
        <v>0</v>
      </c>
      <c r="CQ217">
        <v>0.09</v>
      </c>
      <c r="CR217">
        <v>0.09</v>
      </c>
      <c r="CS217">
        <v>0.09</v>
      </c>
      <c r="CT217">
        <v>0.09</v>
      </c>
      <c r="CU217">
        <v>198382</v>
      </c>
      <c r="CV217">
        <v>0.09</v>
      </c>
      <c r="CW217">
        <v>1</v>
      </c>
      <c r="CX217">
        <v>0.09</v>
      </c>
      <c r="CY217" t="s">
        <v>898</v>
      </c>
      <c r="CZ217">
        <v>95</v>
      </c>
      <c r="DA217">
        <v>181</v>
      </c>
      <c r="DB217">
        <v>122</v>
      </c>
      <c r="DC217">
        <v>140</v>
      </c>
      <c r="DD217" t="s">
        <v>887</v>
      </c>
      <c r="DE217" t="s">
        <v>0</v>
      </c>
      <c r="DF217">
        <f t="shared" si="6"/>
        <v>197.69000000000025</v>
      </c>
      <c r="DG217">
        <v>215</v>
      </c>
      <c r="DH217">
        <f t="shared" si="7"/>
        <v>197.69000000000017</v>
      </c>
    </row>
    <row r="218" spans="1:113" hidden="1" x14ac:dyDescent="0.35">
      <c r="A218">
        <v>1004605556</v>
      </c>
      <c r="D218" t="s">
        <v>100</v>
      </c>
      <c r="E218" t="s">
        <v>99</v>
      </c>
      <c r="F218" t="s">
        <v>104</v>
      </c>
      <c r="G218" t="s">
        <v>103</v>
      </c>
      <c r="J218">
        <v>356568928</v>
      </c>
      <c r="AL218">
        <v>4605556</v>
      </c>
      <c r="AX218">
        <v>11</v>
      </c>
      <c r="AY218">
        <v>643820</v>
      </c>
      <c r="AZ218">
        <v>5549167</v>
      </c>
      <c r="BA218">
        <v>199.96800615436899</v>
      </c>
      <c r="BB218" t="s">
        <v>895</v>
      </c>
      <c r="BC218" t="s">
        <v>895</v>
      </c>
      <c r="BD218" t="s">
        <v>94</v>
      </c>
      <c r="BF218" t="s">
        <v>897</v>
      </c>
      <c r="BG218">
        <v>2</v>
      </c>
      <c r="BH218">
        <v>1004605375</v>
      </c>
      <c r="BI218">
        <v>1</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1.30000000000448E-2</v>
      </c>
      <c r="CL218">
        <v>0</v>
      </c>
      <c r="CM218">
        <v>0</v>
      </c>
      <c r="CN218">
        <v>0</v>
      </c>
      <c r="CO218">
        <v>0.01</v>
      </c>
      <c r="CP218">
        <v>0</v>
      </c>
      <c r="CQ218">
        <v>0</v>
      </c>
      <c r="CR218">
        <v>0</v>
      </c>
      <c r="CS218">
        <v>0.01</v>
      </c>
      <c r="CT218">
        <v>0</v>
      </c>
      <c r="CU218">
        <v>215822</v>
      </c>
      <c r="CV218">
        <v>0.01</v>
      </c>
      <c r="CW218">
        <v>2</v>
      </c>
      <c r="CX218">
        <v>5.0000000000000001E-3</v>
      </c>
      <c r="CZ218">
        <v>104</v>
      </c>
      <c r="DA218">
        <v>162</v>
      </c>
      <c r="DB218">
        <v>142</v>
      </c>
      <c r="DC218">
        <v>141</v>
      </c>
      <c r="DD218" t="s">
        <v>887</v>
      </c>
      <c r="DE218" t="s">
        <v>0</v>
      </c>
      <c r="DF218">
        <f t="shared" si="6"/>
        <v>197.69500000000025</v>
      </c>
      <c r="DG218">
        <v>216</v>
      </c>
      <c r="DH218">
        <f t="shared" si="7"/>
        <v>197.69000000000017</v>
      </c>
    </row>
    <row r="219" spans="1:113" hidden="1" x14ac:dyDescent="0.35">
      <c r="A219">
        <v>1004605375</v>
      </c>
      <c r="D219" t="s">
        <v>100</v>
      </c>
      <c r="E219" t="s">
        <v>99</v>
      </c>
      <c r="F219" t="s">
        <v>104</v>
      </c>
      <c r="G219" t="s">
        <v>103</v>
      </c>
      <c r="H219" t="s">
        <v>896</v>
      </c>
      <c r="J219">
        <v>356568928</v>
      </c>
      <c r="AL219">
        <v>4605375</v>
      </c>
      <c r="AX219">
        <v>11</v>
      </c>
      <c r="AY219">
        <v>643844</v>
      </c>
      <c r="AZ219">
        <v>5549291</v>
      </c>
      <c r="BA219">
        <v>327.71405184435901</v>
      </c>
      <c r="BB219" t="s">
        <v>895</v>
      </c>
      <c r="BC219" t="s">
        <v>895</v>
      </c>
      <c r="BD219" t="s">
        <v>94</v>
      </c>
      <c r="BF219" t="s">
        <v>894</v>
      </c>
      <c r="BG219">
        <v>3</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1.30000000000448E-2</v>
      </c>
      <c r="CL219">
        <v>0</v>
      </c>
      <c r="CM219">
        <v>0.01</v>
      </c>
      <c r="CN219">
        <v>0</v>
      </c>
      <c r="CO219">
        <v>0.01</v>
      </c>
      <c r="CP219">
        <v>0.01</v>
      </c>
      <c r="CQ219">
        <v>0</v>
      </c>
      <c r="CR219">
        <v>0</v>
      </c>
      <c r="CS219">
        <v>0.01</v>
      </c>
      <c r="CT219">
        <v>0.01</v>
      </c>
      <c r="CU219">
        <v>215822</v>
      </c>
      <c r="CV219">
        <v>0.01</v>
      </c>
      <c r="CW219">
        <v>2</v>
      </c>
      <c r="CX219">
        <v>5.0000000000000001E-3</v>
      </c>
      <c r="CZ219">
        <v>104</v>
      </c>
      <c r="DA219">
        <v>162</v>
      </c>
      <c r="DB219">
        <v>142</v>
      </c>
      <c r="DC219">
        <v>141</v>
      </c>
      <c r="DD219" t="s">
        <v>887</v>
      </c>
      <c r="DE219" t="s">
        <v>0</v>
      </c>
      <c r="DF219">
        <f t="shared" si="6"/>
        <v>197.70000000000024</v>
      </c>
      <c r="DG219">
        <v>217</v>
      </c>
      <c r="DH219">
        <f t="shared" si="7"/>
        <v>197.70000000000016</v>
      </c>
    </row>
    <row r="220" spans="1:113" hidden="1" x14ac:dyDescent="0.35">
      <c r="A220">
        <v>1004604114</v>
      </c>
      <c r="D220" t="s">
        <v>100</v>
      </c>
      <c r="E220" t="s">
        <v>99</v>
      </c>
      <c r="F220" t="s">
        <v>104</v>
      </c>
      <c r="G220" t="s">
        <v>103</v>
      </c>
      <c r="J220">
        <v>356517962</v>
      </c>
      <c r="AL220">
        <v>4604114</v>
      </c>
      <c r="AX220">
        <v>11</v>
      </c>
      <c r="AY220">
        <v>654629</v>
      </c>
      <c r="AZ220">
        <v>5567503</v>
      </c>
      <c r="BA220">
        <v>71.773708546923402</v>
      </c>
      <c r="BB220" t="s">
        <v>893</v>
      </c>
      <c r="BC220" t="s">
        <v>893</v>
      </c>
      <c r="BD220" t="s">
        <v>94</v>
      </c>
      <c r="BF220" t="s">
        <v>252</v>
      </c>
      <c r="BG220">
        <v>3</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2.7126566229065601E-2</v>
      </c>
      <c r="CM220">
        <v>0</v>
      </c>
      <c r="CN220">
        <v>0.03</v>
      </c>
      <c r="CO220">
        <v>0</v>
      </c>
      <c r="CP220">
        <v>0</v>
      </c>
      <c r="CQ220">
        <v>0.03</v>
      </c>
      <c r="CR220">
        <v>0.03</v>
      </c>
      <c r="CS220">
        <v>0.03</v>
      </c>
      <c r="CT220">
        <v>0.03</v>
      </c>
      <c r="CU220">
        <v>194022</v>
      </c>
      <c r="CV220">
        <v>0.03</v>
      </c>
      <c r="CW220">
        <v>1</v>
      </c>
      <c r="CX220">
        <v>0.03</v>
      </c>
      <c r="CY220" t="s">
        <v>892</v>
      </c>
      <c r="CZ220">
        <v>100</v>
      </c>
      <c r="DA220">
        <v>182</v>
      </c>
      <c r="DB220">
        <v>130</v>
      </c>
      <c r="DC220">
        <v>142</v>
      </c>
      <c r="DD220" t="s">
        <v>887</v>
      </c>
      <c r="DE220" t="s">
        <v>0</v>
      </c>
      <c r="DF220">
        <f t="shared" si="6"/>
        <v>197.73000000000025</v>
      </c>
      <c r="DG220">
        <v>218</v>
      </c>
      <c r="DH220">
        <f t="shared" si="7"/>
        <v>197.73000000000016</v>
      </c>
    </row>
    <row r="221" spans="1:113" s="4" customFormat="1" hidden="1" x14ac:dyDescent="0.35">
      <c r="A221" s="4">
        <v>1024734255</v>
      </c>
      <c r="D221" s="4" t="s">
        <v>100</v>
      </c>
      <c r="E221" s="4" t="s">
        <v>99</v>
      </c>
      <c r="F221" s="4" t="s">
        <v>104</v>
      </c>
      <c r="G221" s="4" t="s">
        <v>103</v>
      </c>
      <c r="J221" s="4">
        <v>356526819</v>
      </c>
      <c r="AL221" s="4">
        <v>24734255</v>
      </c>
      <c r="AX221" s="4">
        <v>11</v>
      </c>
      <c r="AY221" s="4">
        <v>641179</v>
      </c>
      <c r="AZ221" s="4">
        <v>5486802</v>
      </c>
      <c r="BA221" s="4">
        <v>1216.9346274710199</v>
      </c>
      <c r="BB221" s="4" t="s">
        <v>891</v>
      </c>
      <c r="BC221" s="4" t="s">
        <v>890</v>
      </c>
      <c r="BD221" s="4" t="s">
        <v>94</v>
      </c>
      <c r="BF221" s="4" t="s">
        <v>889</v>
      </c>
      <c r="BG221" s="4">
        <v>5</v>
      </c>
      <c r="BM221" s="4">
        <v>0</v>
      </c>
      <c r="BN221" s="4">
        <v>0</v>
      </c>
      <c r="BO221" s="4">
        <v>0</v>
      </c>
      <c r="BP221" s="4">
        <v>0</v>
      </c>
      <c r="BQ221" s="4">
        <v>0</v>
      </c>
      <c r="BR221" s="4">
        <v>0</v>
      </c>
      <c r="BS221" s="4">
        <v>0</v>
      </c>
      <c r="BT221" s="4">
        <v>0</v>
      </c>
      <c r="BU221" s="4">
        <v>0</v>
      </c>
      <c r="BV221" s="4">
        <v>0</v>
      </c>
      <c r="BW221" s="4">
        <v>0</v>
      </c>
      <c r="BX221" s="4">
        <v>0</v>
      </c>
      <c r="BY221" s="4">
        <v>0</v>
      </c>
      <c r="BZ221" s="4">
        <v>0</v>
      </c>
      <c r="CA221" s="4">
        <v>0</v>
      </c>
      <c r="CB221" s="4">
        <v>0</v>
      </c>
      <c r="CC221" s="4">
        <v>0</v>
      </c>
      <c r="CD221" s="4">
        <v>0</v>
      </c>
      <c r="CE221" s="4">
        <v>0</v>
      </c>
      <c r="CF221" s="4">
        <v>0</v>
      </c>
      <c r="CG221" s="4">
        <v>0</v>
      </c>
      <c r="CH221" s="4">
        <v>0</v>
      </c>
      <c r="CI221" s="4">
        <v>0</v>
      </c>
      <c r="CJ221" s="4">
        <v>0</v>
      </c>
      <c r="CK221" s="4">
        <v>0</v>
      </c>
      <c r="CL221" s="4">
        <v>4.3196172346335902E-2</v>
      </c>
      <c r="CM221" s="4">
        <v>0</v>
      </c>
      <c r="CN221" s="4">
        <v>0.04</v>
      </c>
      <c r="CO221" s="4">
        <v>0</v>
      </c>
      <c r="CP221" s="4">
        <v>0</v>
      </c>
      <c r="CQ221" s="4">
        <v>0.04</v>
      </c>
      <c r="CR221" s="4">
        <v>0.04</v>
      </c>
      <c r="CS221" s="4">
        <v>0.04</v>
      </c>
      <c r="CT221" s="4">
        <v>0.04</v>
      </c>
      <c r="CU221" s="4">
        <v>313924</v>
      </c>
      <c r="CV221" s="4">
        <v>0.04</v>
      </c>
      <c r="CW221" s="4">
        <v>1</v>
      </c>
      <c r="CX221" s="4">
        <v>0.04</v>
      </c>
      <c r="CY221" s="4" t="s">
        <v>888</v>
      </c>
      <c r="CZ221" s="4">
        <v>99</v>
      </c>
      <c r="DA221" s="4">
        <v>200</v>
      </c>
      <c r="DB221" s="4">
        <v>129</v>
      </c>
      <c r="DC221" s="4">
        <v>143</v>
      </c>
      <c r="DD221" s="4" t="s">
        <v>887</v>
      </c>
      <c r="DE221" s="4" t="s">
        <v>0</v>
      </c>
      <c r="DF221">
        <f t="shared" si="6"/>
        <v>197.77000000000024</v>
      </c>
      <c r="DG221">
        <v>219</v>
      </c>
      <c r="DH221">
        <f t="shared" si="7"/>
        <v>197.77000000000015</v>
      </c>
    </row>
    <row r="222" spans="1:113" hidden="1" x14ac:dyDescent="0.35">
      <c r="A222">
        <v>50180</v>
      </c>
      <c r="D222" t="s">
        <v>121</v>
      </c>
      <c r="E222" t="s">
        <v>99</v>
      </c>
      <c r="F222" t="s">
        <v>98</v>
      </c>
      <c r="G222" t="s">
        <v>97</v>
      </c>
      <c r="H222" t="s">
        <v>886</v>
      </c>
      <c r="J222">
        <v>356562350</v>
      </c>
      <c r="AL222">
        <v>4606387</v>
      </c>
      <c r="AM222" t="s">
        <v>114</v>
      </c>
      <c r="AN222" t="s">
        <v>202</v>
      </c>
      <c r="AO222" t="s">
        <v>885</v>
      </c>
      <c r="AP222" t="s">
        <v>648</v>
      </c>
      <c r="AQ222" t="s">
        <v>752</v>
      </c>
      <c r="AR222" s="1">
        <v>41192</v>
      </c>
      <c r="AX222">
        <v>11</v>
      </c>
      <c r="AY222">
        <v>646525</v>
      </c>
      <c r="AZ222">
        <v>5470159</v>
      </c>
      <c r="BA222">
        <v>2626</v>
      </c>
      <c r="BB222" t="s">
        <v>555</v>
      </c>
      <c r="BC222" t="s">
        <v>884</v>
      </c>
      <c r="BD222" t="s">
        <v>94</v>
      </c>
      <c r="BE222" t="s">
        <v>56</v>
      </c>
      <c r="BF222" t="s">
        <v>449</v>
      </c>
      <c r="BG222">
        <v>1</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6.7638664363362402</v>
      </c>
      <c r="CL222">
        <v>7.5413905217258099</v>
      </c>
      <c r="CM222">
        <v>6.76</v>
      </c>
      <c r="CN222">
        <v>7.54</v>
      </c>
      <c r="CO222">
        <v>6.76</v>
      </c>
      <c r="CP222">
        <v>6.76</v>
      </c>
      <c r="CQ222">
        <v>7.54</v>
      </c>
      <c r="CR222">
        <v>7.54</v>
      </c>
      <c r="CS222">
        <v>7.54</v>
      </c>
      <c r="CT222">
        <v>7.54</v>
      </c>
      <c r="DE222" t="s">
        <v>0</v>
      </c>
      <c r="DF222" s="3"/>
      <c r="DG222" s="3"/>
      <c r="DI222" t="s">
        <v>883</v>
      </c>
    </row>
    <row r="223" spans="1:113" hidden="1" x14ac:dyDescent="0.35">
      <c r="A223">
        <v>50186</v>
      </c>
      <c r="D223" t="s">
        <v>121</v>
      </c>
      <c r="E223" t="s">
        <v>882</v>
      </c>
      <c r="F223" t="s">
        <v>258</v>
      </c>
      <c r="G223" t="s">
        <v>97</v>
      </c>
      <c r="H223" t="s">
        <v>881</v>
      </c>
      <c r="J223">
        <v>356562350</v>
      </c>
      <c r="AL223">
        <v>24727446</v>
      </c>
      <c r="AM223" t="s">
        <v>114</v>
      </c>
      <c r="AN223" t="s">
        <v>256</v>
      </c>
      <c r="AO223" t="s">
        <v>880</v>
      </c>
      <c r="AP223" t="s">
        <v>648</v>
      </c>
      <c r="AQ223" t="s">
        <v>879</v>
      </c>
      <c r="AR223" s="1">
        <v>40854</v>
      </c>
      <c r="AX223">
        <v>11</v>
      </c>
      <c r="AY223">
        <v>645271</v>
      </c>
      <c r="AZ223">
        <v>5469186</v>
      </c>
      <c r="BA223">
        <v>298</v>
      </c>
      <c r="BB223" t="s">
        <v>555</v>
      </c>
      <c r="BC223" t="s">
        <v>555</v>
      </c>
      <c r="BD223" t="s">
        <v>94</v>
      </c>
      <c r="BE223" t="s">
        <v>56</v>
      </c>
      <c r="BF223" t="s">
        <v>449</v>
      </c>
      <c r="BG223">
        <v>1</v>
      </c>
      <c r="BH223" t="s">
        <v>554</v>
      </c>
      <c r="BI223">
        <v>4</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11.2748989075747</v>
      </c>
      <c r="CL223">
        <v>13.193157307738</v>
      </c>
      <c r="CM223">
        <v>9.31</v>
      </c>
      <c r="CN223">
        <v>10.08</v>
      </c>
      <c r="CO223">
        <v>11.27</v>
      </c>
      <c r="CP223">
        <v>11.27</v>
      </c>
      <c r="CQ223">
        <v>13.19</v>
      </c>
      <c r="CR223">
        <v>13.19</v>
      </c>
      <c r="CS223">
        <v>13.19</v>
      </c>
      <c r="CT223">
        <v>13.19</v>
      </c>
      <c r="DE223" t="s">
        <v>0</v>
      </c>
    </row>
    <row r="224" spans="1:113" hidden="1" x14ac:dyDescent="0.35">
      <c r="A224">
        <v>50188</v>
      </c>
      <c r="D224" t="s">
        <v>121</v>
      </c>
      <c r="E224" t="s">
        <v>99</v>
      </c>
      <c r="F224" t="s">
        <v>98</v>
      </c>
      <c r="G224" t="s">
        <v>97</v>
      </c>
      <c r="H224" t="s">
        <v>876</v>
      </c>
      <c r="J224">
        <v>356562350</v>
      </c>
      <c r="AL224">
        <v>4605564</v>
      </c>
      <c r="AM224" t="s">
        <v>114</v>
      </c>
      <c r="AN224" t="s">
        <v>202</v>
      </c>
      <c r="AO224" t="s">
        <v>871</v>
      </c>
      <c r="AP224" t="s">
        <v>648</v>
      </c>
      <c r="AQ224" t="s">
        <v>878</v>
      </c>
      <c r="AR224" s="1">
        <v>41192</v>
      </c>
      <c r="AX224">
        <v>11</v>
      </c>
      <c r="AY224">
        <v>648813</v>
      </c>
      <c r="AZ224">
        <v>5471376</v>
      </c>
      <c r="BA224">
        <v>5766</v>
      </c>
      <c r="BB224" t="s">
        <v>555</v>
      </c>
      <c r="BC224" t="s">
        <v>877</v>
      </c>
      <c r="BD224" t="s">
        <v>94</v>
      </c>
      <c r="BE224" t="s">
        <v>56</v>
      </c>
      <c r="BF224" t="s">
        <v>449</v>
      </c>
      <c r="BG224">
        <v>1</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3.62386793884985</v>
      </c>
      <c r="CL224">
        <v>4.4013920242394304</v>
      </c>
      <c r="CM224">
        <v>3.62</v>
      </c>
      <c r="CN224">
        <v>4.4000000000000004</v>
      </c>
      <c r="CO224">
        <v>3.62</v>
      </c>
      <c r="CP224">
        <v>3.62</v>
      </c>
      <c r="CQ224">
        <v>4.4000000000000004</v>
      </c>
      <c r="CR224">
        <v>4.4000000000000004</v>
      </c>
      <c r="CS224">
        <v>4.4000000000000004</v>
      </c>
      <c r="CT224">
        <v>4.4000000000000004</v>
      </c>
      <c r="DE224" t="s">
        <v>0</v>
      </c>
    </row>
    <row r="225" spans="1:109" hidden="1" x14ac:dyDescent="0.35">
      <c r="A225">
        <v>50197</v>
      </c>
      <c r="D225" t="s">
        <v>121</v>
      </c>
      <c r="E225" t="s">
        <v>99</v>
      </c>
      <c r="F225" t="s">
        <v>98</v>
      </c>
      <c r="G225" t="s">
        <v>97</v>
      </c>
      <c r="H225" t="s">
        <v>876</v>
      </c>
      <c r="J225">
        <v>356562350</v>
      </c>
      <c r="AL225">
        <v>24706511</v>
      </c>
      <c r="AM225" t="s">
        <v>114</v>
      </c>
      <c r="AN225" t="s">
        <v>202</v>
      </c>
      <c r="AO225" t="s">
        <v>871</v>
      </c>
      <c r="AP225" t="s">
        <v>648</v>
      </c>
      <c r="AQ225" t="s">
        <v>875</v>
      </c>
      <c r="AR225" s="1">
        <v>41192</v>
      </c>
      <c r="AX225">
        <v>11</v>
      </c>
      <c r="AY225">
        <v>651563</v>
      </c>
      <c r="AZ225">
        <v>5476369</v>
      </c>
      <c r="BA225">
        <v>13044</v>
      </c>
      <c r="BB225" t="s">
        <v>555</v>
      </c>
      <c r="BC225" t="s">
        <v>646</v>
      </c>
      <c r="BD225" t="s">
        <v>94</v>
      </c>
      <c r="BE225" t="s">
        <v>56</v>
      </c>
      <c r="BF225" t="s">
        <v>449</v>
      </c>
      <c r="BG225">
        <v>1</v>
      </c>
      <c r="BL225">
        <v>24747400010858</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0.65244228759444101</v>
      </c>
      <c r="CL225">
        <v>0.65244228759444101</v>
      </c>
      <c r="CM225">
        <v>0.65</v>
      </c>
      <c r="CN225">
        <v>0.65</v>
      </c>
      <c r="CO225">
        <v>0.65</v>
      </c>
      <c r="CP225">
        <v>0.65</v>
      </c>
      <c r="CQ225">
        <v>0.65</v>
      </c>
      <c r="CR225">
        <v>0.65</v>
      </c>
      <c r="CS225">
        <v>0.65</v>
      </c>
      <c r="CT225">
        <v>0.65</v>
      </c>
      <c r="DE225" t="s">
        <v>0</v>
      </c>
    </row>
    <row r="226" spans="1:109" hidden="1" x14ac:dyDescent="0.35">
      <c r="A226">
        <v>50208</v>
      </c>
      <c r="D226" t="s">
        <v>121</v>
      </c>
      <c r="E226" t="s">
        <v>99</v>
      </c>
      <c r="F226" t="s">
        <v>258</v>
      </c>
      <c r="G226" t="s">
        <v>97</v>
      </c>
      <c r="J226">
        <v>356562350</v>
      </c>
      <c r="AL226">
        <v>4601702</v>
      </c>
      <c r="AM226" t="s">
        <v>114</v>
      </c>
      <c r="AN226" t="s">
        <v>256</v>
      </c>
      <c r="AO226" t="s">
        <v>874</v>
      </c>
      <c r="AP226" t="s">
        <v>648</v>
      </c>
      <c r="AQ226" t="s">
        <v>873</v>
      </c>
      <c r="AR226" s="1">
        <v>40851</v>
      </c>
      <c r="AX226">
        <v>11</v>
      </c>
      <c r="AY226">
        <v>650005</v>
      </c>
      <c r="AZ226">
        <v>5472365</v>
      </c>
      <c r="BA226">
        <v>7662</v>
      </c>
      <c r="BB226" t="s">
        <v>555</v>
      </c>
      <c r="BC226" t="s">
        <v>872</v>
      </c>
      <c r="BD226" t="s">
        <v>94</v>
      </c>
      <c r="BE226" t="s">
        <v>56</v>
      </c>
      <c r="BF226" t="s">
        <v>449</v>
      </c>
      <c r="BG226">
        <v>1</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2.2386031258084702</v>
      </c>
      <c r="CL226">
        <v>2.5053907890585201</v>
      </c>
      <c r="CM226">
        <v>2.2400000000000002</v>
      </c>
      <c r="CN226">
        <v>2.5099999999999998</v>
      </c>
      <c r="CO226">
        <v>2.2400000000000002</v>
      </c>
      <c r="CP226">
        <v>2.2400000000000002</v>
      </c>
      <c r="CQ226">
        <v>2.5099999999999998</v>
      </c>
      <c r="CR226">
        <v>2.5099999999999998</v>
      </c>
      <c r="CS226">
        <v>2.5099999999999998</v>
      </c>
      <c r="CT226">
        <v>2.5099999999999998</v>
      </c>
      <c r="DE226" t="s">
        <v>0</v>
      </c>
    </row>
    <row r="227" spans="1:109" hidden="1" x14ac:dyDescent="0.35">
      <c r="A227">
        <v>50210</v>
      </c>
      <c r="D227" t="s">
        <v>121</v>
      </c>
      <c r="E227" t="s">
        <v>99</v>
      </c>
      <c r="F227" t="s">
        <v>98</v>
      </c>
      <c r="G227" t="s">
        <v>97</v>
      </c>
      <c r="J227">
        <v>356562350</v>
      </c>
      <c r="AL227">
        <v>4600772</v>
      </c>
      <c r="AM227" t="s">
        <v>114</v>
      </c>
      <c r="AN227" t="s">
        <v>202</v>
      </c>
      <c r="AO227" t="s">
        <v>871</v>
      </c>
      <c r="AP227" t="s">
        <v>648</v>
      </c>
      <c r="AQ227" t="s">
        <v>870</v>
      </c>
      <c r="AR227" s="1">
        <v>40851</v>
      </c>
      <c r="AX227">
        <v>11</v>
      </c>
      <c r="AY227">
        <v>647895</v>
      </c>
      <c r="AZ227">
        <v>5470680</v>
      </c>
      <c r="BA227">
        <v>4433</v>
      </c>
      <c r="BB227" t="s">
        <v>555</v>
      </c>
      <c r="BC227" t="s">
        <v>869</v>
      </c>
      <c r="BD227" t="s">
        <v>94</v>
      </c>
      <c r="BE227" t="s">
        <v>56</v>
      </c>
      <c r="BF227" t="s">
        <v>449</v>
      </c>
      <c r="BG227">
        <v>1</v>
      </c>
      <c r="BM227">
        <v>0</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4.9568664344522997</v>
      </c>
      <c r="CL227">
        <v>5.7343905198418703</v>
      </c>
      <c r="CM227">
        <v>4.96</v>
      </c>
      <c r="CN227">
        <v>5.73</v>
      </c>
      <c r="CO227">
        <v>4.96</v>
      </c>
      <c r="CP227">
        <v>4.96</v>
      </c>
      <c r="CQ227">
        <v>5.73</v>
      </c>
      <c r="CR227">
        <v>5.73</v>
      </c>
      <c r="CS227">
        <v>5.73</v>
      </c>
      <c r="CT227">
        <v>5.73</v>
      </c>
      <c r="DE227" t="s">
        <v>0</v>
      </c>
    </row>
    <row r="228" spans="1:109" hidden="1" x14ac:dyDescent="0.35">
      <c r="A228">
        <v>50220</v>
      </c>
      <c r="D228" t="s">
        <v>121</v>
      </c>
      <c r="E228" t="s">
        <v>99</v>
      </c>
      <c r="F228" t="s">
        <v>98</v>
      </c>
      <c r="G228" t="s">
        <v>97</v>
      </c>
      <c r="H228" t="s">
        <v>868</v>
      </c>
      <c r="J228">
        <v>356565783</v>
      </c>
      <c r="AL228">
        <v>24706493</v>
      </c>
      <c r="AM228" t="s">
        <v>114</v>
      </c>
      <c r="AN228" t="s">
        <v>202</v>
      </c>
      <c r="AO228" t="s">
        <v>865</v>
      </c>
      <c r="AP228" t="s">
        <v>23</v>
      </c>
      <c r="AQ228" t="s">
        <v>867</v>
      </c>
      <c r="AR228" s="1">
        <v>40826</v>
      </c>
      <c r="AX228">
        <v>11</v>
      </c>
      <c r="AY228">
        <v>659512</v>
      </c>
      <c r="AZ228">
        <v>5496655</v>
      </c>
      <c r="BA228">
        <v>22115</v>
      </c>
      <c r="BB228" t="s">
        <v>329</v>
      </c>
      <c r="BC228" t="s">
        <v>764</v>
      </c>
      <c r="BD228" t="s">
        <v>94</v>
      </c>
      <c r="BE228" t="s">
        <v>23</v>
      </c>
      <c r="BF228" t="s">
        <v>449</v>
      </c>
      <c r="BG228">
        <v>1</v>
      </c>
      <c r="BH228" t="s">
        <v>866</v>
      </c>
      <c r="BI228">
        <v>41</v>
      </c>
      <c r="BM228">
        <v>0</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62.682650969313201</v>
      </c>
      <c r="CL228">
        <v>86.306893917177106</v>
      </c>
      <c r="CM228">
        <v>57.4</v>
      </c>
      <c r="CN228">
        <v>71.47</v>
      </c>
      <c r="CO228">
        <v>62.68</v>
      </c>
      <c r="CP228">
        <v>62.68</v>
      </c>
      <c r="CQ228">
        <v>86.31</v>
      </c>
      <c r="CR228">
        <v>86.31</v>
      </c>
      <c r="CS228">
        <v>86.31</v>
      </c>
      <c r="CT228">
        <v>86.31</v>
      </c>
      <c r="DE228" t="s">
        <v>0</v>
      </c>
    </row>
    <row r="229" spans="1:109" hidden="1" x14ac:dyDescent="0.35">
      <c r="A229">
        <v>50222</v>
      </c>
      <c r="D229" t="s">
        <v>121</v>
      </c>
      <c r="E229" t="s">
        <v>99</v>
      </c>
      <c r="F229" t="s">
        <v>98</v>
      </c>
      <c r="G229" t="s">
        <v>97</v>
      </c>
      <c r="J229">
        <v>356569540</v>
      </c>
      <c r="AM229" t="s">
        <v>114</v>
      </c>
      <c r="AN229" t="s">
        <v>202</v>
      </c>
      <c r="AO229" t="s">
        <v>865</v>
      </c>
      <c r="AP229" t="s">
        <v>858</v>
      </c>
      <c r="AQ229" t="s">
        <v>864</v>
      </c>
      <c r="AR229" s="1">
        <v>40826</v>
      </c>
      <c r="AX229">
        <v>11</v>
      </c>
      <c r="AY229">
        <v>659005</v>
      </c>
      <c r="AZ229">
        <v>5494093</v>
      </c>
      <c r="BA229">
        <v>547</v>
      </c>
      <c r="BB229" t="s">
        <v>770</v>
      </c>
      <c r="BC229" t="s">
        <v>770</v>
      </c>
      <c r="BD229" t="s">
        <v>94</v>
      </c>
      <c r="BE229" t="s">
        <v>769</v>
      </c>
      <c r="BF229" t="s">
        <v>449</v>
      </c>
      <c r="BG229">
        <v>1</v>
      </c>
      <c r="BM229">
        <v>0</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0.44294825175125302</v>
      </c>
      <c r="CL229">
        <v>1.64678521616148</v>
      </c>
      <c r="CM229">
        <v>0.44</v>
      </c>
      <c r="CN229">
        <v>1.65</v>
      </c>
      <c r="CO229">
        <v>0.44</v>
      </c>
      <c r="CP229">
        <v>0.44</v>
      </c>
      <c r="CQ229">
        <v>1.65</v>
      </c>
      <c r="CR229">
        <v>1.65</v>
      </c>
      <c r="CS229">
        <v>1.65</v>
      </c>
      <c r="CT229">
        <v>1.65</v>
      </c>
      <c r="DE229" t="s">
        <v>0</v>
      </c>
    </row>
    <row r="230" spans="1:109" hidden="1" x14ac:dyDescent="0.35">
      <c r="A230">
        <v>50223</v>
      </c>
      <c r="D230" t="s">
        <v>121</v>
      </c>
      <c r="E230" t="s">
        <v>99</v>
      </c>
      <c r="F230" t="s">
        <v>258</v>
      </c>
      <c r="G230" t="s">
        <v>97</v>
      </c>
      <c r="J230">
        <v>356544517</v>
      </c>
      <c r="AL230">
        <v>4600946</v>
      </c>
      <c r="AM230" t="s">
        <v>114</v>
      </c>
      <c r="AN230" t="s">
        <v>256</v>
      </c>
      <c r="AO230" t="s">
        <v>528</v>
      </c>
      <c r="AP230" t="s">
        <v>568</v>
      </c>
      <c r="AQ230" t="s">
        <v>863</v>
      </c>
      <c r="AR230" s="1">
        <v>40827</v>
      </c>
      <c r="AX230">
        <v>11</v>
      </c>
      <c r="AY230">
        <v>658101</v>
      </c>
      <c r="AZ230">
        <v>5487816</v>
      </c>
      <c r="BA230">
        <v>82</v>
      </c>
      <c r="BB230" t="s">
        <v>570</v>
      </c>
      <c r="BC230" t="s">
        <v>570</v>
      </c>
      <c r="BD230" t="s">
        <v>94</v>
      </c>
      <c r="BE230" t="s">
        <v>568</v>
      </c>
      <c r="BF230" t="s">
        <v>449</v>
      </c>
      <c r="BG230">
        <v>1</v>
      </c>
      <c r="BH230" t="s">
        <v>862</v>
      </c>
      <c r="BI230">
        <v>4</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7.8475658183310397</v>
      </c>
      <c r="CL230">
        <v>12.854787039521399</v>
      </c>
      <c r="CM230">
        <v>7.71</v>
      </c>
      <c r="CN230">
        <v>11.61</v>
      </c>
      <c r="CO230">
        <v>7.85</v>
      </c>
      <c r="CP230">
        <v>7.85</v>
      </c>
      <c r="CQ230">
        <v>12.85</v>
      </c>
      <c r="CR230">
        <v>12.85</v>
      </c>
      <c r="CS230">
        <v>12.85</v>
      </c>
      <c r="CT230">
        <v>12.85</v>
      </c>
      <c r="DE230" t="s">
        <v>0</v>
      </c>
    </row>
    <row r="231" spans="1:109" hidden="1" x14ac:dyDescent="0.35">
      <c r="A231">
        <v>50227</v>
      </c>
      <c r="D231" t="s">
        <v>121</v>
      </c>
      <c r="E231" t="s">
        <v>99</v>
      </c>
      <c r="F231" t="s">
        <v>258</v>
      </c>
      <c r="G231" t="s">
        <v>97</v>
      </c>
      <c r="J231">
        <v>356569619</v>
      </c>
      <c r="AL231">
        <v>4601018</v>
      </c>
      <c r="AM231" t="s">
        <v>114</v>
      </c>
      <c r="AN231" t="s">
        <v>256</v>
      </c>
      <c r="AO231" t="s">
        <v>528</v>
      </c>
      <c r="AP231" t="s">
        <v>528</v>
      </c>
      <c r="AQ231" t="s">
        <v>861</v>
      </c>
      <c r="AR231" s="1">
        <v>40827</v>
      </c>
      <c r="AX231">
        <v>11</v>
      </c>
      <c r="AY231">
        <v>659547</v>
      </c>
      <c r="AZ231">
        <v>5491610</v>
      </c>
      <c r="BA231">
        <v>3394</v>
      </c>
      <c r="BB231" t="s">
        <v>495</v>
      </c>
      <c r="BC231" t="s">
        <v>529</v>
      </c>
      <c r="BD231" t="s">
        <v>94</v>
      </c>
      <c r="BE231" t="s">
        <v>528</v>
      </c>
      <c r="BF231" t="s">
        <v>449</v>
      </c>
      <c r="BG231">
        <v>1</v>
      </c>
      <c r="BH231" t="s">
        <v>527</v>
      </c>
      <c r="BI231">
        <v>12</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26.054815908853101</v>
      </c>
      <c r="CL231">
        <v>39.501669779101299</v>
      </c>
      <c r="CM231">
        <v>23.68</v>
      </c>
      <c r="CN231">
        <v>32.450000000000003</v>
      </c>
      <c r="CO231">
        <v>26.05</v>
      </c>
      <c r="CP231">
        <v>26.05</v>
      </c>
      <c r="CQ231">
        <v>39.5</v>
      </c>
      <c r="CR231">
        <v>39.5</v>
      </c>
      <c r="CS231">
        <v>39.5</v>
      </c>
      <c r="CT231">
        <v>39.5</v>
      </c>
      <c r="DE231" t="s">
        <v>0</v>
      </c>
    </row>
    <row r="232" spans="1:109" hidden="1" x14ac:dyDescent="0.35">
      <c r="A232">
        <v>50229</v>
      </c>
      <c r="D232" t="s">
        <v>121</v>
      </c>
      <c r="E232" t="s">
        <v>99</v>
      </c>
      <c r="F232" t="s">
        <v>98</v>
      </c>
      <c r="G232" t="s">
        <v>97</v>
      </c>
      <c r="J232">
        <v>356565325</v>
      </c>
      <c r="AL232">
        <v>4605911</v>
      </c>
      <c r="AM232" t="s">
        <v>114</v>
      </c>
      <c r="AN232" t="s">
        <v>202</v>
      </c>
      <c r="AO232" t="s">
        <v>763</v>
      </c>
      <c r="AP232" t="s">
        <v>763</v>
      </c>
      <c r="AQ232" t="s">
        <v>860</v>
      </c>
      <c r="AR232" s="1">
        <v>40827</v>
      </c>
      <c r="AX232">
        <v>11</v>
      </c>
      <c r="AY232">
        <v>656277</v>
      </c>
      <c r="AZ232">
        <v>5497987</v>
      </c>
      <c r="BA232">
        <v>4075</v>
      </c>
      <c r="BB232" t="s">
        <v>764</v>
      </c>
      <c r="BC232" t="s">
        <v>859</v>
      </c>
      <c r="BD232" t="s">
        <v>94</v>
      </c>
      <c r="BE232" t="s">
        <v>763</v>
      </c>
      <c r="BF232" t="s">
        <v>449</v>
      </c>
      <c r="BG232">
        <v>1</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0.55847916320420998</v>
      </c>
      <c r="CL232">
        <v>1.67757038947198</v>
      </c>
      <c r="CM232">
        <v>0.56000000000000005</v>
      </c>
      <c r="CN232">
        <v>1.68</v>
      </c>
      <c r="CO232">
        <v>0.56000000000000005</v>
      </c>
      <c r="CP232">
        <v>0.56000000000000005</v>
      </c>
      <c r="CQ232">
        <v>1.68</v>
      </c>
      <c r="CR232">
        <v>1.68</v>
      </c>
      <c r="CS232">
        <v>1.68</v>
      </c>
      <c r="CT232">
        <v>1.68</v>
      </c>
      <c r="DE232" t="s">
        <v>0</v>
      </c>
    </row>
    <row r="233" spans="1:109" hidden="1" x14ac:dyDescent="0.35">
      <c r="A233">
        <v>50237</v>
      </c>
      <c r="D233" t="s">
        <v>121</v>
      </c>
      <c r="E233" t="s">
        <v>99</v>
      </c>
      <c r="F233" t="s">
        <v>98</v>
      </c>
      <c r="G233" t="s">
        <v>97</v>
      </c>
      <c r="J233">
        <v>356569540</v>
      </c>
      <c r="AL233">
        <v>4604230</v>
      </c>
      <c r="AM233" t="s">
        <v>114</v>
      </c>
      <c r="AN233" t="s">
        <v>202</v>
      </c>
      <c r="AO233" t="s">
        <v>858</v>
      </c>
      <c r="AP233" t="s">
        <v>857</v>
      </c>
      <c r="AQ233" t="s">
        <v>856</v>
      </c>
      <c r="AR233" s="1">
        <v>40828</v>
      </c>
      <c r="AX233">
        <v>11</v>
      </c>
      <c r="AY233">
        <v>657906</v>
      </c>
      <c r="AZ233">
        <v>5492969</v>
      </c>
      <c r="BA233">
        <v>2246</v>
      </c>
      <c r="BB233" t="s">
        <v>770</v>
      </c>
      <c r="BC233" t="s">
        <v>855</v>
      </c>
      <c r="BD233" t="s">
        <v>94</v>
      </c>
      <c r="BE233" t="s">
        <v>769</v>
      </c>
      <c r="BF233" t="s">
        <v>449</v>
      </c>
      <c r="BG233">
        <v>1</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0</v>
      </c>
      <c r="CJ233">
        <v>0</v>
      </c>
      <c r="CK233">
        <v>4.1784933485330897E-2</v>
      </c>
      <c r="CL233">
        <v>4.1784933485330897E-2</v>
      </c>
      <c r="CM233">
        <v>0.04</v>
      </c>
      <c r="CN233">
        <v>0.04</v>
      </c>
      <c r="CO233">
        <v>0.04</v>
      </c>
      <c r="CP233">
        <v>0.04</v>
      </c>
      <c r="CQ233">
        <v>0.04</v>
      </c>
      <c r="CR233">
        <v>0.04</v>
      </c>
      <c r="CS233">
        <v>0.04</v>
      </c>
      <c r="CT233">
        <v>0.04</v>
      </c>
      <c r="DE233" t="s">
        <v>0</v>
      </c>
    </row>
    <row r="234" spans="1:109" hidden="1" x14ac:dyDescent="0.35">
      <c r="A234">
        <v>50239</v>
      </c>
      <c r="D234" t="s">
        <v>121</v>
      </c>
      <c r="E234" t="s">
        <v>99</v>
      </c>
      <c r="F234" t="s">
        <v>98</v>
      </c>
      <c r="G234" t="s">
        <v>97</v>
      </c>
      <c r="J234">
        <v>356565325</v>
      </c>
      <c r="AL234">
        <v>4601494</v>
      </c>
      <c r="AM234" t="s">
        <v>114</v>
      </c>
      <c r="AN234" t="s">
        <v>202</v>
      </c>
      <c r="AO234" t="s">
        <v>854</v>
      </c>
      <c r="AP234" t="s">
        <v>853</v>
      </c>
      <c r="AQ234" t="s">
        <v>852</v>
      </c>
      <c r="AR234" s="1">
        <v>40828</v>
      </c>
      <c r="AX234">
        <v>11</v>
      </c>
      <c r="AY234">
        <v>658635</v>
      </c>
      <c r="AZ234">
        <v>5496827</v>
      </c>
      <c r="BA234">
        <v>944</v>
      </c>
      <c r="BB234" t="s">
        <v>764</v>
      </c>
      <c r="BC234" t="s">
        <v>764</v>
      </c>
      <c r="BD234" t="s">
        <v>94</v>
      </c>
      <c r="BE234" t="s">
        <v>763</v>
      </c>
      <c r="BF234" t="s">
        <v>449</v>
      </c>
      <c r="BG234">
        <v>1</v>
      </c>
      <c r="BM234">
        <v>0</v>
      </c>
      <c r="BN234">
        <v>0</v>
      </c>
      <c r="BO234">
        <v>0</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3.6344771208003701</v>
      </c>
      <c r="CL234">
        <v>4.8085683470681104</v>
      </c>
      <c r="CM234">
        <v>3.63</v>
      </c>
      <c r="CN234">
        <v>4.8099999999999996</v>
      </c>
      <c r="CO234">
        <v>3.63</v>
      </c>
      <c r="CP234">
        <v>3.63</v>
      </c>
      <c r="CQ234">
        <v>4.8099999999999996</v>
      </c>
      <c r="CR234">
        <v>4.8099999999999996</v>
      </c>
      <c r="CS234">
        <v>4.8099999999999996</v>
      </c>
      <c r="CT234">
        <v>4.8099999999999996</v>
      </c>
      <c r="DE234" t="s">
        <v>0</v>
      </c>
    </row>
    <row r="235" spans="1:109" hidden="1" x14ac:dyDescent="0.35">
      <c r="A235">
        <v>50253</v>
      </c>
      <c r="D235" t="s">
        <v>121</v>
      </c>
      <c r="E235" t="s">
        <v>120</v>
      </c>
      <c r="F235" t="s">
        <v>98</v>
      </c>
      <c r="G235" t="s">
        <v>97</v>
      </c>
      <c r="H235" t="s">
        <v>762</v>
      </c>
      <c r="J235">
        <v>356565783</v>
      </c>
      <c r="AL235">
        <v>24706515</v>
      </c>
      <c r="AM235" t="s">
        <v>114</v>
      </c>
      <c r="AN235" t="s">
        <v>202</v>
      </c>
      <c r="AO235" t="s">
        <v>761</v>
      </c>
      <c r="AP235" t="s">
        <v>23</v>
      </c>
      <c r="AQ235" t="s">
        <v>752</v>
      </c>
      <c r="AR235" s="1">
        <v>41204</v>
      </c>
      <c r="AX235">
        <v>11</v>
      </c>
      <c r="AY235">
        <v>664402</v>
      </c>
      <c r="AZ235">
        <v>5490125</v>
      </c>
      <c r="BA235">
        <v>33835</v>
      </c>
      <c r="BB235" t="s">
        <v>329</v>
      </c>
      <c r="BC235" t="s">
        <v>851</v>
      </c>
      <c r="BD235" t="s">
        <v>94</v>
      </c>
      <c r="BE235" t="s">
        <v>23</v>
      </c>
      <c r="BF235" t="s">
        <v>449</v>
      </c>
      <c r="BG235">
        <v>1</v>
      </c>
      <c r="BH235" t="s">
        <v>757</v>
      </c>
      <c r="BI235">
        <v>25</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21.308461571166799</v>
      </c>
      <c r="CL235">
        <v>27.670183960049702</v>
      </c>
      <c r="CM235">
        <v>18.399999999999999</v>
      </c>
      <c r="CN235">
        <v>21.05</v>
      </c>
      <c r="CO235">
        <v>21.31</v>
      </c>
      <c r="CP235">
        <v>21.31</v>
      </c>
      <c r="CQ235">
        <v>27.67</v>
      </c>
      <c r="CR235">
        <v>27.67</v>
      </c>
      <c r="CS235">
        <v>27.67</v>
      </c>
      <c r="CT235">
        <v>27.67</v>
      </c>
      <c r="DE235" t="s">
        <v>0</v>
      </c>
    </row>
    <row r="236" spans="1:109" hidden="1" x14ac:dyDescent="0.35">
      <c r="A236">
        <v>50256</v>
      </c>
      <c r="D236" t="s">
        <v>121</v>
      </c>
      <c r="E236" t="s">
        <v>120</v>
      </c>
      <c r="F236" t="s">
        <v>98</v>
      </c>
      <c r="G236" t="s">
        <v>97</v>
      </c>
      <c r="H236" t="s">
        <v>762</v>
      </c>
      <c r="J236">
        <v>356565783</v>
      </c>
      <c r="AL236">
        <v>24706516</v>
      </c>
      <c r="AM236" t="s">
        <v>114</v>
      </c>
      <c r="AN236" t="s">
        <v>202</v>
      </c>
      <c r="AO236" t="s">
        <v>761</v>
      </c>
      <c r="AP236" t="s">
        <v>23</v>
      </c>
      <c r="AQ236" t="s">
        <v>850</v>
      </c>
      <c r="AR236" s="1">
        <v>41205</v>
      </c>
      <c r="AX236">
        <v>11</v>
      </c>
      <c r="AY236">
        <v>665256</v>
      </c>
      <c r="AZ236">
        <v>5489348</v>
      </c>
      <c r="BA236">
        <v>35216</v>
      </c>
      <c r="BB236" t="s">
        <v>329</v>
      </c>
      <c r="BC236" t="s">
        <v>756</v>
      </c>
      <c r="BD236" t="s">
        <v>94</v>
      </c>
      <c r="BE236" t="s">
        <v>23</v>
      </c>
      <c r="BF236" t="s">
        <v>449</v>
      </c>
      <c r="BG236">
        <v>1</v>
      </c>
      <c r="BH236" t="s">
        <v>755</v>
      </c>
      <c r="BI236">
        <v>23</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19.709234655933798</v>
      </c>
      <c r="CL236">
        <v>26.070957044816801</v>
      </c>
      <c r="CM236">
        <v>16.97</v>
      </c>
      <c r="CN236">
        <v>19.62</v>
      </c>
      <c r="CO236">
        <v>19.71</v>
      </c>
      <c r="CP236">
        <v>19.71</v>
      </c>
      <c r="CQ236">
        <v>26.07</v>
      </c>
      <c r="CR236">
        <v>26.07</v>
      </c>
      <c r="CS236">
        <v>26.07</v>
      </c>
      <c r="CT236">
        <v>26.07</v>
      </c>
      <c r="DE236" t="s">
        <v>0</v>
      </c>
    </row>
    <row r="237" spans="1:109" hidden="1" x14ac:dyDescent="0.35">
      <c r="A237">
        <v>50257</v>
      </c>
      <c r="D237" t="s">
        <v>121</v>
      </c>
      <c r="E237" t="s">
        <v>120</v>
      </c>
      <c r="F237" t="s">
        <v>98</v>
      </c>
      <c r="G237" t="s">
        <v>97</v>
      </c>
      <c r="H237" t="s">
        <v>762</v>
      </c>
      <c r="J237">
        <v>356563592</v>
      </c>
      <c r="AL237">
        <v>4600122</v>
      </c>
      <c r="AM237" t="s">
        <v>114</v>
      </c>
      <c r="AN237" t="s">
        <v>202</v>
      </c>
      <c r="AO237" t="s">
        <v>761</v>
      </c>
      <c r="AP237" t="s">
        <v>23</v>
      </c>
      <c r="AQ237" t="s">
        <v>849</v>
      </c>
      <c r="AR237" s="1">
        <v>40825</v>
      </c>
      <c r="AX237">
        <v>11</v>
      </c>
      <c r="AY237">
        <v>667277</v>
      </c>
      <c r="AZ237">
        <v>5488253</v>
      </c>
      <c r="BA237">
        <v>118</v>
      </c>
      <c r="BB237" t="s">
        <v>498</v>
      </c>
      <c r="BC237" t="s">
        <v>498</v>
      </c>
      <c r="BD237" t="s">
        <v>94</v>
      </c>
      <c r="BE237" t="s">
        <v>497</v>
      </c>
      <c r="BF237" t="s">
        <v>449</v>
      </c>
      <c r="BG237">
        <v>1</v>
      </c>
      <c r="BH237" t="s">
        <v>496</v>
      </c>
      <c r="BI237">
        <v>11</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6.1912877570231997</v>
      </c>
      <c r="CL237">
        <v>9.0204746765271793</v>
      </c>
      <c r="CM237">
        <v>6.19</v>
      </c>
      <c r="CN237">
        <v>8.19</v>
      </c>
      <c r="CO237">
        <v>6.19</v>
      </c>
      <c r="CP237">
        <v>6.19</v>
      </c>
      <c r="CQ237">
        <v>9.02</v>
      </c>
      <c r="CR237">
        <v>9.02</v>
      </c>
      <c r="CS237">
        <v>9.02</v>
      </c>
      <c r="CT237">
        <v>9.02</v>
      </c>
      <c r="DE237" t="s">
        <v>0</v>
      </c>
    </row>
    <row r="238" spans="1:109" hidden="1" x14ac:dyDescent="0.35">
      <c r="A238">
        <v>50258</v>
      </c>
      <c r="D238" t="s">
        <v>121</v>
      </c>
      <c r="E238" t="s">
        <v>99</v>
      </c>
      <c r="F238" t="s">
        <v>98</v>
      </c>
      <c r="G238" t="s">
        <v>97</v>
      </c>
      <c r="H238" t="s">
        <v>311</v>
      </c>
      <c r="J238">
        <v>356560765</v>
      </c>
      <c r="AL238">
        <v>4600123</v>
      </c>
      <c r="AM238" t="s">
        <v>114</v>
      </c>
      <c r="AN238" t="s">
        <v>202</v>
      </c>
      <c r="AO238" t="s">
        <v>848</v>
      </c>
      <c r="AP238" t="s">
        <v>844</v>
      </c>
      <c r="AQ238" t="s">
        <v>847</v>
      </c>
      <c r="AR238" s="1">
        <v>40825</v>
      </c>
      <c r="AX238">
        <v>11</v>
      </c>
      <c r="AY238">
        <v>668560</v>
      </c>
      <c r="AZ238">
        <v>5487421</v>
      </c>
      <c r="BA238">
        <v>581</v>
      </c>
      <c r="BB238" t="s">
        <v>846</v>
      </c>
      <c r="BC238" t="s">
        <v>845</v>
      </c>
      <c r="BD238" t="s">
        <v>94</v>
      </c>
      <c r="BE238" t="s">
        <v>844</v>
      </c>
      <c r="BF238" t="s">
        <v>449</v>
      </c>
      <c r="BG238">
        <v>1</v>
      </c>
      <c r="BH238" t="s">
        <v>843</v>
      </c>
      <c r="BI238">
        <v>7</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0</v>
      </c>
      <c r="CI238">
        <v>0</v>
      </c>
      <c r="CJ238">
        <v>0</v>
      </c>
      <c r="CK238">
        <v>1.6319996963302199</v>
      </c>
      <c r="CL238">
        <v>1.6319996963302199</v>
      </c>
      <c r="CM238">
        <v>1.63</v>
      </c>
      <c r="CN238">
        <v>1.63</v>
      </c>
      <c r="CO238">
        <v>1.63</v>
      </c>
      <c r="CP238">
        <v>1.63</v>
      </c>
      <c r="CQ238">
        <v>1.63</v>
      </c>
      <c r="CR238">
        <v>1.63</v>
      </c>
      <c r="CS238">
        <v>1.63</v>
      </c>
      <c r="CT238">
        <v>1.63</v>
      </c>
      <c r="DE238" t="s">
        <v>0</v>
      </c>
    </row>
    <row r="239" spans="1:109" hidden="1" x14ac:dyDescent="0.35">
      <c r="A239">
        <v>50264</v>
      </c>
      <c r="D239" t="s">
        <v>121</v>
      </c>
      <c r="E239" t="s">
        <v>99</v>
      </c>
      <c r="F239" t="s">
        <v>258</v>
      </c>
      <c r="G239" t="s">
        <v>97</v>
      </c>
      <c r="J239">
        <v>356565783</v>
      </c>
      <c r="AM239" t="s">
        <v>114</v>
      </c>
      <c r="AN239" t="s">
        <v>256</v>
      </c>
      <c r="AO239" t="s">
        <v>22</v>
      </c>
      <c r="AP239" t="s">
        <v>23</v>
      </c>
      <c r="AQ239" t="s">
        <v>842</v>
      </c>
      <c r="AR239" s="1">
        <v>40825</v>
      </c>
      <c r="AX239">
        <v>11</v>
      </c>
      <c r="AY239">
        <v>667965</v>
      </c>
      <c r="AZ239">
        <v>5484346</v>
      </c>
      <c r="BA239">
        <v>44469</v>
      </c>
      <c r="BB239" t="s">
        <v>329</v>
      </c>
      <c r="BC239" t="s">
        <v>841</v>
      </c>
      <c r="BD239" t="s">
        <v>94</v>
      </c>
      <c r="BE239" t="s">
        <v>23</v>
      </c>
      <c r="BF239" t="s">
        <v>449</v>
      </c>
      <c r="BG239">
        <v>1</v>
      </c>
      <c r="BH239" t="s">
        <v>840</v>
      </c>
      <c r="BI239">
        <v>5</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3.3830261541787099</v>
      </c>
      <c r="CL239">
        <v>6.2729307209409404</v>
      </c>
      <c r="CM239">
        <v>0.65</v>
      </c>
      <c r="CN239">
        <v>0.65</v>
      </c>
      <c r="CO239">
        <v>3.38</v>
      </c>
      <c r="CP239">
        <v>3.38</v>
      </c>
      <c r="CQ239">
        <v>6.27</v>
      </c>
      <c r="CR239">
        <v>6.27</v>
      </c>
      <c r="CS239">
        <v>6.27</v>
      </c>
      <c r="CT239">
        <v>6.27</v>
      </c>
      <c r="DE239" t="s">
        <v>0</v>
      </c>
    </row>
    <row r="240" spans="1:109" hidden="1" x14ac:dyDescent="0.35">
      <c r="A240">
        <v>50271</v>
      </c>
      <c r="D240" t="s">
        <v>121</v>
      </c>
      <c r="E240" t="s">
        <v>120</v>
      </c>
      <c r="F240" t="s">
        <v>98</v>
      </c>
      <c r="G240" t="s">
        <v>97</v>
      </c>
      <c r="H240" t="s">
        <v>762</v>
      </c>
      <c r="J240">
        <v>356565783</v>
      </c>
      <c r="AL240">
        <v>24706514</v>
      </c>
      <c r="AM240" t="s">
        <v>114</v>
      </c>
      <c r="AN240" t="s">
        <v>202</v>
      </c>
      <c r="AO240" t="s">
        <v>761</v>
      </c>
      <c r="AP240" t="s">
        <v>23</v>
      </c>
      <c r="AQ240" t="s">
        <v>839</v>
      </c>
      <c r="AR240" s="1">
        <v>41204</v>
      </c>
      <c r="AX240">
        <v>11</v>
      </c>
      <c r="AY240">
        <v>660468</v>
      </c>
      <c r="AZ240">
        <v>5493150</v>
      </c>
      <c r="BA240">
        <v>26780</v>
      </c>
      <c r="BB240" t="s">
        <v>329</v>
      </c>
      <c r="BC240" t="s">
        <v>768</v>
      </c>
      <c r="BD240" t="s">
        <v>94</v>
      </c>
      <c r="BE240" t="s">
        <v>23</v>
      </c>
      <c r="BF240" t="s">
        <v>449</v>
      </c>
      <c r="BG240">
        <v>1</v>
      </c>
      <c r="BH240" t="s">
        <v>767</v>
      </c>
      <c r="BI240">
        <v>28</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0</v>
      </c>
      <c r="CI240">
        <v>0</v>
      </c>
      <c r="CJ240">
        <v>0</v>
      </c>
      <c r="CK240">
        <v>28.303086722034301</v>
      </c>
      <c r="CL240">
        <v>36.0434478690917</v>
      </c>
      <c r="CM240">
        <v>25.4</v>
      </c>
      <c r="CN240">
        <v>28.32</v>
      </c>
      <c r="CO240">
        <v>28.3</v>
      </c>
      <c r="CP240">
        <v>28.3</v>
      </c>
      <c r="CQ240">
        <v>36.04</v>
      </c>
      <c r="CR240">
        <v>36.04</v>
      </c>
      <c r="CS240">
        <v>36.04</v>
      </c>
      <c r="CT240">
        <v>36.04</v>
      </c>
      <c r="DE240" t="s">
        <v>0</v>
      </c>
    </row>
    <row r="241" spans="1:109" hidden="1" x14ac:dyDescent="0.35">
      <c r="A241">
        <v>60427</v>
      </c>
      <c r="D241" t="s">
        <v>121</v>
      </c>
      <c r="E241" t="s">
        <v>99</v>
      </c>
      <c r="F241" t="s">
        <v>98</v>
      </c>
      <c r="G241" t="s">
        <v>97</v>
      </c>
      <c r="H241" t="s">
        <v>409</v>
      </c>
      <c r="J241">
        <v>356569000</v>
      </c>
      <c r="AL241">
        <v>24706658</v>
      </c>
      <c r="AM241" t="s">
        <v>114</v>
      </c>
      <c r="AN241" t="s">
        <v>202</v>
      </c>
      <c r="AO241" t="s">
        <v>409</v>
      </c>
      <c r="AP241" t="s">
        <v>837</v>
      </c>
      <c r="AQ241" t="s">
        <v>296</v>
      </c>
      <c r="AR241" s="1">
        <v>41199</v>
      </c>
      <c r="AX241">
        <v>11</v>
      </c>
      <c r="AY241">
        <v>643706</v>
      </c>
      <c r="AZ241">
        <v>5562373</v>
      </c>
      <c r="BA241">
        <v>1639</v>
      </c>
      <c r="BB241" t="s">
        <v>838</v>
      </c>
      <c r="BC241" t="s">
        <v>838</v>
      </c>
      <c r="BD241" t="s">
        <v>94</v>
      </c>
      <c r="BE241" t="s">
        <v>837</v>
      </c>
      <c r="BF241" t="s">
        <v>449</v>
      </c>
      <c r="BG241">
        <v>1</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c r="CK241">
        <v>8.4268517125003104</v>
      </c>
      <c r="CL241">
        <v>9.6418208786153006</v>
      </c>
      <c r="CM241">
        <v>8.43</v>
      </c>
      <c r="CN241">
        <v>9.64</v>
      </c>
      <c r="CO241">
        <v>8.43</v>
      </c>
      <c r="CP241">
        <v>8.43</v>
      </c>
      <c r="CQ241">
        <v>9.64</v>
      </c>
      <c r="CR241">
        <v>9.64</v>
      </c>
      <c r="CS241">
        <v>9.64</v>
      </c>
      <c r="CT241">
        <v>9.64</v>
      </c>
      <c r="DE241" t="s">
        <v>0</v>
      </c>
    </row>
    <row r="242" spans="1:109" hidden="1" x14ac:dyDescent="0.35">
      <c r="A242">
        <v>61238</v>
      </c>
      <c r="D242" t="s">
        <v>121</v>
      </c>
      <c r="E242" t="s">
        <v>99</v>
      </c>
      <c r="F242" t="s">
        <v>98</v>
      </c>
      <c r="G242" t="s">
        <v>97</v>
      </c>
      <c r="H242" t="s">
        <v>633</v>
      </c>
      <c r="J242">
        <v>356565258</v>
      </c>
      <c r="AL242">
        <v>4606543</v>
      </c>
      <c r="AM242" t="s">
        <v>114</v>
      </c>
      <c r="AN242" t="s">
        <v>202</v>
      </c>
      <c r="AO242" t="s">
        <v>632</v>
      </c>
      <c r="AP242" t="s">
        <v>484</v>
      </c>
      <c r="AQ242" t="s">
        <v>836</v>
      </c>
      <c r="AR242" s="1">
        <v>41193</v>
      </c>
      <c r="AX242">
        <v>11</v>
      </c>
      <c r="AY242">
        <v>645752</v>
      </c>
      <c r="AZ242">
        <v>5516985</v>
      </c>
      <c r="BA242">
        <v>9998</v>
      </c>
      <c r="BB242" t="s">
        <v>485</v>
      </c>
      <c r="BC242" t="s">
        <v>835</v>
      </c>
      <c r="BD242" t="s">
        <v>94</v>
      </c>
      <c r="BE242" t="s">
        <v>484</v>
      </c>
      <c r="BF242" t="s">
        <v>449</v>
      </c>
      <c r="BG242">
        <v>1</v>
      </c>
      <c r="BH242" t="s">
        <v>666</v>
      </c>
      <c r="BI242">
        <v>2</v>
      </c>
      <c r="BM242">
        <v>0</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0</v>
      </c>
      <c r="CG242">
        <v>0</v>
      </c>
      <c r="CH242">
        <v>0</v>
      </c>
      <c r="CI242">
        <v>0</v>
      </c>
      <c r="CJ242">
        <v>0</v>
      </c>
      <c r="CK242">
        <v>9.1805564866745808</v>
      </c>
      <c r="CL242">
        <v>10.5524828363464</v>
      </c>
      <c r="CM242">
        <v>8.15</v>
      </c>
      <c r="CN242">
        <v>8.41</v>
      </c>
      <c r="CO242">
        <v>9.18</v>
      </c>
      <c r="CP242">
        <v>9.18</v>
      </c>
      <c r="CQ242">
        <v>10.55</v>
      </c>
      <c r="CR242">
        <v>10.55</v>
      </c>
      <c r="CS242">
        <v>10.55</v>
      </c>
      <c r="CT242">
        <v>10.55</v>
      </c>
      <c r="DE242" t="s">
        <v>0</v>
      </c>
    </row>
    <row r="243" spans="1:109" hidden="1" x14ac:dyDescent="0.35">
      <c r="A243">
        <v>61239</v>
      </c>
      <c r="D243" t="s">
        <v>121</v>
      </c>
      <c r="E243" t="s">
        <v>99</v>
      </c>
      <c r="F243" t="s">
        <v>98</v>
      </c>
      <c r="G243" t="s">
        <v>97</v>
      </c>
      <c r="H243" t="s">
        <v>633</v>
      </c>
      <c r="J243">
        <v>356565258</v>
      </c>
      <c r="AL243">
        <v>4607599</v>
      </c>
      <c r="AM243" t="s">
        <v>114</v>
      </c>
      <c r="AN243" t="s">
        <v>202</v>
      </c>
      <c r="AO243" t="s">
        <v>632</v>
      </c>
      <c r="AP243" t="s">
        <v>484</v>
      </c>
      <c r="AQ243" t="s">
        <v>834</v>
      </c>
      <c r="AR243" s="1">
        <v>41193</v>
      </c>
      <c r="AX243">
        <v>11</v>
      </c>
      <c r="AY243">
        <v>649461</v>
      </c>
      <c r="AZ243">
        <v>5515299</v>
      </c>
      <c r="BA243">
        <v>4941</v>
      </c>
      <c r="BB243" t="s">
        <v>485</v>
      </c>
      <c r="BC243" t="s">
        <v>630</v>
      </c>
      <c r="BD243" t="s">
        <v>94</v>
      </c>
      <c r="BE243" t="s">
        <v>484</v>
      </c>
      <c r="BF243" t="s">
        <v>449</v>
      </c>
      <c r="BG243">
        <v>1</v>
      </c>
      <c r="BH243" t="s">
        <v>483</v>
      </c>
      <c r="BI243">
        <v>3</v>
      </c>
      <c r="BM243">
        <v>0</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18.104184123141</v>
      </c>
      <c r="CL243">
        <v>25.032456542869198</v>
      </c>
      <c r="CM243">
        <v>13.53</v>
      </c>
      <c r="CN243">
        <v>13.88</v>
      </c>
      <c r="CO243">
        <v>18.100000000000001</v>
      </c>
      <c r="CP243">
        <v>18.100000000000001</v>
      </c>
      <c r="CQ243">
        <v>25.03</v>
      </c>
      <c r="CR243">
        <v>25.03</v>
      </c>
      <c r="CS243">
        <v>25.03</v>
      </c>
      <c r="CT243">
        <v>25.03</v>
      </c>
      <c r="DE243" t="s">
        <v>0</v>
      </c>
    </row>
    <row r="244" spans="1:109" hidden="1" x14ac:dyDescent="0.35">
      <c r="A244">
        <v>61240</v>
      </c>
      <c r="D244" t="s">
        <v>121</v>
      </c>
      <c r="E244" t="s">
        <v>99</v>
      </c>
      <c r="F244" t="s">
        <v>98</v>
      </c>
      <c r="G244" t="s">
        <v>97</v>
      </c>
      <c r="H244" t="s">
        <v>633</v>
      </c>
      <c r="J244">
        <v>356565258</v>
      </c>
      <c r="AL244">
        <v>4606524</v>
      </c>
      <c r="AM244" t="s">
        <v>114</v>
      </c>
      <c r="AN244" t="s">
        <v>202</v>
      </c>
      <c r="AO244" t="s">
        <v>632</v>
      </c>
      <c r="AP244" t="s">
        <v>484</v>
      </c>
      <c r="AQ244" t="s">
        <v>834</v>
      </c>
      <c r="AR244" s="1">
        <v>41193</v>
      </c>
      <c r="AX244">
        <v>11</v>
      </c>
      <c r="AY244">
        <v>648588</v>
      </c>
      <c r="AZ244">
        <v>5515130</v>
      </c>
      <c r="BA244">
        <v>5982</v>
      </c>
      <c r="BB244" t="s">
        <v>485</v>
      </c>
      <c r="BC244" t="s">
        <v>833</v>
      </c>
      <c r="BD244" t="s">
        <v>94</v>
      </c>
      <c r="BE244" t="s">
        <v>484</v>
      </c>
      <c r="BF244" t="s">
        <v>449</v>
      </c>
      <c r="BG244">
        <v>1</v>
      </c>
      <c r="BH244" t="s">
        <v>483</v>
      </c>
      <c r="BI244">
        <v>3</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17.062718339899298</v>
      </c>
      <c r="CL244">
        <v>23.9909907596275</v>
      </c>
      <c r="CM244">
        <v>12.49</v>
      </c>
      <c r="CN244">
        <v>12.84</v>
      </c>
      <c r="CO244">
        <v>17.059999999999999</v>
      </c>
      <c r="CP244">
        <v>17.059999999999999</v>
      </c>
      <c r="CQ244">
        <v>23.99</v>
      </c>
      <c r="CR244">
        <v>23.99</v>
      </c>
      <c r="CS244">
        <v>23.99</v>
      </c>
      <c r="CT244">
        <v>23.99</v>
      </c>
      <c r="DE244" t="s">
        <v>0</v>
      </c>
    </row>
    <row r="245" spans="1:109" hidden="1" x14ac:dyDescent="0.35">
      <c r="A245">
        <v>61492</v>
      </c>
      <c r="D245" t="s">
        <v>121</v>
      </c>
      <c r="E245" t="s">
        <v>99</v>
      </c>
      <c r="F245" t="s">
        <v>98</v>
      </c>
      <c r="G245" t="s">
        <v>97</v>
      </c>
      <c r="H245" t="s">
        <v>823</v>
      </c>
      <c r="J245">
        <v>356563802</v>
      </c>
      <c r="AL245">
        <v>4600204</v>
      </c>
      <c r="AM245" t="s">
        <v>114</v>
      </c>
      <c r="AN245" t="s">
        <v>202</v>
      </c>
      <c r="AO245" t="s">
        <v>832</v>
      </c>
      <c r="AP245" t="s">
        <v>479</v>
      </c>
      <c r="AQ245" t="s">
        <v>831</v>
      </c>
      <c r="AR245" s="1">
        <v>41179</v>
      </c>
      <c r="AX245">
        <v>11</v>
      </c>
      <c r="AY245">
        <v>652159</v>
      </c>
      <c r="AZ245">
        <v>5482419</v>
      </c>
      <c r="BA245">
        <v>17000</v>
      </c>
      <c r="BB245" t="s">
        <v>480</v>
      </c>
      <c r="BC245" t="s">
        <v>830</v>
      </c>
      <c r="BD245" t="s">
        <v>94</v>
      </c>
      <c r="BE245" t="s">
        <v>479</v>
      </c>
      <c r="BF245" t="s">
        <v>449</v>
      </c>
      <c r="BG245">
        <v>1</v>
      </c>
      <c r="BM245">
        <v>0</v>
      </c>
      <c r="BN245">
        <v>0</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0.35654234661196599</v>
      </c>
      <c r="CL245">
        <v>4.1644844231980702</v>
      </c>
      <c r="CM245">
        <v>0.36</v>
      </c>
      <c r="CN245">
        <v>4.16</v>
      </c>
      <c r="CO245">
        <v>0.36</v>
      </c>
      <c r="CP245">
        <v>0.36</v>
      </c>
      <c r="CQ245">
        <v>4.16</v>
      </c>
      <c r="CR245">
        <v>4.16</v>
      </c>
      <c r="CS245">
        <v>4.16</v>
      </c>
      <c r="CT245">
        <v>4.16</v>
      </c>
      <c r="DE245" t="s">
        <v>0</v>
      </c>
    </row>
    <row r="246" spans="1:109" hidden="1" x14ac:dyDescent="0.35">
      <c r="A246">
        <v>61494</v>
      </c>
      <c r="D246" t="s">
        <v>121</v>
      </c>
      <c r="E246" t="s">
        <v>99</v>
      </c>
      <c r="F246" t="s">
        <v>98</v>
      </c>
      <c r="G246" t="s">
        <v>97</v>
      </c>
      <c r="H246" t="s">
        <v>823</v>
      </c>
      <c r="J246">
        <v>356563802</v>
      </c>
      <c r="AL246">
        <v>24706509</v>
      </c>
      <c r="AM246" t="s">
        <v>114</v>
      </c>
      <c r="AN246" t="s">
        <v>202</v>
      </c>
      <c r="AO246" t="s">
        <v>823</v>
      </c>
      <c r="AP246" t="s">
        <v>479</v>
      </c>
      <c r="AQ246" t="s">
        <v>829</v>
      </c>
      <c r="AR246" s="1">
        <v>41179</v>
      </c>
      <c r="AX246">
        <v>11</v>
      </c>
      <c r="AY246">
        <v>649704</v>
      </c>
      <c r="AZ246">
        <v>5485006</v>
      </c>
      <c r="BA246">
        <v>12240</v>
      </c>
      <c r="BB246" t="s">
        <v>480</v>
      </c>
      <c r="BC246" t="s">
        <v>828</v>
      </c>
      <c r="BD246" t="s">
        <v>94</v>
      </c>
      <c r="BE246" t="s">
        <v>479</v>
      </c>
      <c r="BF246" t="s">
        <v>449</v>
      </c>
      <c r="BG246">
        <v>1</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3.3361959156830201</v>
      </c>
      <c r="CL246">
        <v>8.7663227824052097</v>
      </c>
      <c r="CM246">
        <v>3.34</v>
      </c>
      <c r="CN246">
        <v>8.77</v>
      </c>
      <c r="CO246">
        <v>3.34</v>
      </c>
      <c r="CP246">
        <v>3.34</v>
      </c>
      <c r="CQ246">
        <v>8.77</v>
      </c>
      <c r="CR246">
        <v>8.77</v>
      </c>
      <c r="CS246">
        <v>8.77</v>
      </c>
      <c r="CT246">
        <v>8.77</v>
      </c>
      <c r="DE246" t="s">
        <v>0</v>
      </c>
    </row>
    <row r="247" spans="1:109" hidden="1" x14ac:dyDescent="0.35">
      <c r="A247">
        <v>61496</v>
      </c>
      <c r="D247" t="s">
        <v>121</v>
      </c>
      <c r="E247" t="s">
        <v>99</v>
      </c>
      <c r="F247" t="s">
        <v>98</v>
      </c>
      <c r="G247" t="s">
        <v>97</v>
      </c>
      <c r="J247">
        <v>356549331</v>
      </c>
      <c r="AL247">
        <v>24706538</v>
      </c>
      <c r="AM247" t="s">
        <v>114</v>
      </c>
      <c r="AN247" t="s">
        <v>202</v>
      </c>
      <c r="AO247" t="s">
        <v>827</v>
      </c>
      <c r="AP247" t="s">
        <v>513</v>
      </c>
      <c r="AQ247" t="s">
        <v>752</v>
      </c>
      <c r="AR247" s="1">
        <v>41179</v>
      </c>
      <c r="AX247">
        <v>11</v>
      </c>
      <c r="AY247">
        <v>648528</v>
      </c>
      <c r="AZ247">
        <v>5481137</v>
      </c>
      <c r="BA247">
        <v>3943</v>
      </c>
      <c r="BB247" t="s">
        <v>515</v>
      </c>
      <c r="BC247" t="s">
        <v>826</v>
      </c>
      <c r="BD247" t="s">
        <v>94</v>
      </c>
      <c r="BE247" t="s">
        <v>513</v>
      </c>
      <c r="BF247" t="s">
        <v>449</v>
      </c>
      <c r="BG247">
        <v>1</v>
      </c>
      <c r="BH247" t="s">
        <v>512</v>
      </c>
      <c r="BI247">
        <v>2</v>
      </c>
      <c r="BL247">
        <v>24617210003773</v>
      </c>
      <c r="BM247">
        <v>0</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c r="CH247">
        <v>0</v>
      </c>
      <c r="CI247">
        <v>0</v>
      </c>
      <c r="CJ247">
        <v>0</v>
      </c>
      <c r="CK247">
        <v>3.2363165879073001</v>
      </c>
      <c r="CL247">
        <v>3.2363165879073001</v>
      </c>
      <c r="CM247">
        <v>2.0099999999999998</v>
      </c>
      <c r="CN247">
        <v>2.0099999999999998</v>
      </c>
      <c r="CO247">
        <v>3.24</v>
      </c>
      <c r="CP247">
        <v>3.24</v>
      </c>
      <c r="CQ247">
        <v>3.24</v>
      </c>
      <c r="CR247">
        <v>3.24</v>
      </c>
      <c r="CS247">
        <v>3.24</v>
      </c>
      <c r="CT247">
        <v>3.24</v>
      </c>
      <c r="DE247" t="s">
        <v>0</v>
      </c>
    </row>
    <row r="248" spans="1:109" hidden="1" x14ac:dyDescent="0.35">
      <c r="A248">
        <v>61497</v>
      </c>
      <c r="D248" t="s">
        <v>121</v>
      </c>
      <c r="E248" t="s">
        <v>99</v>
      </c>
      <c r="F248" t="s">
        <v>98</v>
      </c>
      <c r="G248" t="s">
        <v>97</v>
      </c>
      <c r="H248" t="s">
        <v>823</v>
      </c>
      <c r="J248">
        <v>356549331</v>
      </c>
      <c r="AL248">
        <v>24706508</v>
      </c>
      <c r="AM248" t="s">
        <v>114</v>
      </c>
      <c r="AN248" t="s">
        <v>202</v>
      </c>
      <c r="AO248" t="s">
        <v>823</v>
      </c>
      <c r="AP248" t="s">
        <v>479</v>
      </c>
      <c r="AQ248" t="s">
        <v>752</v>
      </c>
      <c r="AR248" s="1">
        <v>41179</v>
      </c>
      <c r="AX248">
        <v>11</v>
      </c>
      <c r="AY248">
        <v>648687</v>
      </c>
      <c r="AZ248">
        <v>5484264</v>
      </c>
      <c r="BA248">
        <v>112</v>
      </c>
      <c r="BB248" t="s">
        <v>515</v>
      </c>
      <c r="BC248" t="s">
        <v>515</v>
      </c>
      <c r="BD248" t="s">
        <v>94</v>
      </c>
      <c r="BE248" t="s">
        <v>513</v>
      </c>
      <c r="BF248" t="s">
        <v>449</v>
      </c>
      <c r="BG248">
        <v>1</v>
      </c>
      <c r="BH248" t="s">
        <v>512</v>
      </c>
      <c r="BI248">
        <v>2</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3.2985673389347001</v>
      </c>
      <c r="CL248">
        <v>4.1767556680483304</v>
      </c>
      <c r="CM248">
        <v>2.0699999999999998</v>
      </c>
      <c r="CN248">
        <v>2.95</v>
      </c>
      <c r="CO248">
        <v>3.3</v>
      </c>
      <c r="CP248">
        <v>3.3</v>
      </c>
      <c r="CQ248">
        <v>4.18</v>
      </c>
      <c r="CR248">
        <v>4.18</v>
      </c>
      <c r="CS248">
        <v>4.18</v>
      </c>
      <c r="CT248">
        <v>4.18</v>
      </c>
      <c r="DE248" t="s">
        <v>0</v>
      </c>
    </row>
    <row r="249" spans="1:109" hidden="1" x14ac:dyDescent="0.35">
      <c r="A249">
        <v>61500</v>
      </c>
      <c r="D249" t="s">
        <v>121</v>
      </c>
      <c r="E249" t="s">
        <v>120</v>
      </c>
      <c r="F249" t="s">
        <v>98</v>
      </c>
      <c r="G249" t="s">
        <v>97</v>
      </c>
      <c r="H249" t="s">
        <v>602</v>
      </c>
      <c r="J249">
        <v>356563802</v>
      </c>
      <c r="AL249">
        <v>24706496</v>
      </c>
      <c r="AM249" t="s">
        <v>114</v>
      </c>
      <c r="AN249" t="s">
        <v>202</v>
      </c>
      <c r="AO249" t="s">
        <v>823</v>
      </c>
      <c r="AP249" t="s">
        <v>479</v>
      </c>
      <c r="AQ249" t="s">
        <v>752</v>
      </c>
      <c r="AR249" s="1">
        <v>41179</v>
      </c>
      <c r="AX249">
        <v>11</v>
      </c>
      <c r="AY249">
        <v>640827</v>
      </c>
      <c r="AZ249">
        <v>5484489</v>
      </c>
      <c r="BA249">
        <v>1407</v>
      </c>
      <c r="BB249" t="s">
        <v>480</v>
      </c>
      <c r="BC249" t="s">
        <v>480</v>
      </c>
      <c r="BD249" t="s">
        <v>94</v>
      </c>
      <c r="BE249" t="s">
        <v>479</v>
      </c>
      <c r="BF249" t="s">
        <v>449</v>
      </c>
      <c r="BG249">
        <v>1</v>
      </c>
      <c r="BH249" t="s">
        <v>478</v>
      </c>
      <c r="BI249">
        <v>3</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16.8296597991909</v>
      </c>
      <c r="CL249">
        <v>24.4957161592903</v>
      </c>
      <c r="CM249">
        <v>15.6</v>
      </c>
      <c r="CN249">
        <v>23.25</v>
      </c>
      <c r="CO249">
        <v>16.829999999999998</v>
      </c>
      <c r="CP249">
        <v>16.829999999999998</v>
      </c>
      <c r="CQ249">
        <v>24.5</v>
      </c>
      <c r="CR249">
        <v>24.5</v>
      </c>
      <c r="CS249">
        <v>24.5</v>
      </c>
      <c r="CT249">
        <v>24.5</v>
      </c>
      <c r="DE249" t="s">
        <v>0</v>
      </c>
    </row>
    <row r="250" spans="1:109" hidden="1" x14ac:dyDescent="0.35">
      <c r="A250">
        <v>61503</v>
      </c>
      <c r="D250" t="s">
        <v>121</v>
      </c>
      <c r="E250" t="s">
        <v>99</v>
      </c>
      <c r="F250" t="s">
        <v>98</v>
      </c>
      <c r="G250" t="s">
        <v>97</v>
      </c>
      <c r="H250" t="s">
        <v>825</v>
      </c>
      <c r="J250">
        <v>356563802</v>
      </c>
      <c r="AL250">
        <v>24706513</v>
      </c>
      <c r="AM250" t="s">
        <v>114</v>
      </c>
      <c r="AN250" t="s">
        <v>202</v>
      </c>
      <c r="AO250" t="s">
        <v>823</v>
      </c>
      <c r="AP250" t="s">
        <v>479</v>
      </c>
      <c r="AQ250" t="s">
        <v>752</v>
      </c>
      <c r="AR250" s="1">
        <v>41179</v>
      </c>
      <c r="AX250">
        <v>11</v>
      </c>
      <c r="AY250">
        <v>642057</v>
      </c>
      <c r="AZ250">
        <v>5484507</v>
      </c>
      <c r="BA250">
        <v>2879</v>
      </c>
      <c r="BB250" t="s">
        <v>480</v>
      </c>
      <c r="BC250" t="s">
        <v>824</v>
      </c>
      <c r="BD250" t="s">
        <v>94</v>
      </c>
      <c r="BE250" t="s">
        <v>479</v>
      </c>
      <c r="BF250" t="s">
        <v>449</v>
      </c>
      <c r="BG250">
        <v>1</v>
      </c>
      <c r="BH250" t="s">
        <v>478</v>
      </c>
      <c r="BI250">
        <v>3</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0</v>
      </c>
      <c r="CK250">
        <v>15.3576594151557</v>
      </c>
      <c r="CL250">
        <v>23.023715775254999</v>
      </c>
      <c r="CM250">
        <v>14.13</v>
      </c>
      <c r="CN250">
        <v>21.78</v>
      </c>
      <c r="CO250">
        <v>15.36</v>
      </c>
      <c r="CP250">
        <v>15.36</v>
      </c>
      <c r="CQ250">
        <v>23.02</v>
      </c>
      <c r="CR250">
        <v>23.02</v>
      </c>
      <c r="CS250">
        <v>23.02</v>
      </c>
      <c r="CT250">
        <v>23.02</v>
      </c>
      <c r="DE250" t="s">
        <v>0</v>
      </c>
    </row>
    <row r="251" spans="1:109" hidden="1" x14ac:dyDescent="0.35">
      <c r="A251">
        <v>61504</v>
      </c>
      <c r="B251">
        <v>61504</v>
      </c>
      <c r="D251" t="s">
        <v>121</v>
      </c>
      <c r="E251" t="s">
        <v>99</v>
      </c>
      <c r="F251" t="s">
        <v>98</v>
      </c>
      <c r="G251" t="s">
        <v>97</v>
      </c>
      <c r="H251" t="s">
        <v>823</v>
      </c>
      <c r="J251">
        <v>356563802</v>
      </c>
      <c r="K251" t="s">
        <v>479</v>
      </c>
      <c r="L251" t="s">
        <v>822</v>
      </c>
      <c r="M251" t="s">
        <v>13</v>
      </c>
      <c r="N251" t="s">
        <v>821</v>
      </c>
      <c r="P251" t="s">
        <v>38</v>
      </c>
      <c r="Q251" t="s">
        <v>37</v>
      </c>
      <c r="T251" t="s">
        <v>6</v>
      </c>
      <c r="V251" t="s">
        <v>149</v>
      </c>
      <c r="AE251" t="s">
        <v>820</v>
      </c>
      <c r="AF251" s="1">
        <v>45899</v>
      </c>
      <c r="AG251" t="s">
        <v>819</v>
      </c>
      <c r="AI251" t="s">
        <v>818</v>
      </c>
      <c r="AJ251" t="s">
        <v>817</v>
      </c>
      <c r="AK251" t="s">
        <v>816</v>
      </c>
      <c r="AL251">
        <v>24706507</v>
      </c>
      <c r="AM251" t="s">
        <v>782</v>
      </c>
      <c r="AN251" t="s">
        <v>202</v>
      </c>
      <c r="AO251" t="s">
        <v>815</v>
      </c>
      <c r="AP251" t="s">
        <v>479</v>
      </c>
      <c r="AQ251" t="s">
        <v>814</v>
      </c>
      <c r="AR251" s="1">
        <v>44473</v>
      </c>
      <c r="AX251">
        <v>11</v>
      </c>
      <c r="AY251">
        <v>645312</v>
      </c>
      <c r="AZ251">
        <v>5483686</v>
      </c>
      <c r="BA251">
        <v>6899</v>
      </c>
      <c r="BB251" t="s">
        <v>480</v>
      </c>
      <c r="BC251" t="s">
        <v>813</v>
      </c>
      <c r="BD251" t="s">
        <v>94</v>
      </c>
      <c r="BE251" t="s">
        <v>479</v>
      </c>
      <c r="BF251" t="s">
        <v>449</v>
      </c>
      <c r="BG251">
        <v>1</v>
      </c>
      <c r="BH251" t="s">
        <v>512</v>
      </c>
      <c r="BI251">
        <v>2</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0</v>
      </c>
      <c r="CJ251">
        <v>0</v>
      </c>
      <c r="CK251">
        <v>11.3783752751868</v>
      </c>
      <c r="CL251">
        <v>18.729689787955099</v>
      </c>
      <c r="CM251">
        <v>10.15</v>
      </c>
      <c r="CN251">
        <v>17.5</v>
      </c>
      <c r="CO251">
        <v>11.38</v>
      </c>
      <c r="CP251">
        <v>11.38</v>
      </c>
      <c r="CQ251">
        <v>18.73</v>
      </c>
      <c r="CR251">
        <v>18.73</v>
      </c>
      <c r="CS251">
        <v>18.73</v>
      </c>
      <c r="CT251">
        <v>18.73</v>
      </c>
      <c r="DE251" t="s">
        <v>0</v>
      </c>
    </row>
    <row r="252" spans="1:109" hidden="1" x14ac:dyDescent="0.35">
      <c r="A252">
        <v>61609</v>
      </c>
      <c r="D252" t="s">
        <v>121</v>
      </c>
      <c r="E252" t="s">
        <v>99</v>
      </c>
      <c r="F252" t="s">
        <v>98</v>
      </c>
      <c r="G252" t="s">
        <v>97</v>
      </c>
      <c r="J252">
        <v>356530454</v>
      </c>
      <c r="AL252">
        <v>4605289</v>
      </c>
      <c r="AM252" t="s">
        <v>114</v>
      </c>
      <c r="AN252" t="s">
        <v>202</v>
      </c>
      <c r="AO252" t="s">
        <v>809</v>
      </c>
      <c r="AP252" t="s">
        <v>811</v>
      </c>
      <c r="AR252" s="1">
        <v>41199</v>
      </c>
      <c r="AX252">
        <v>11</v>
      </c>
      <c r="AY252">
        <v>660291</v>
      </c>
      <c r="AZ252">
        <v>5548667</v>
      </c>
      <c r="BA252">
        <v>53</v>
      </c>
      <c r="BB252" t="s">
        <v>812</v>
      </c>
      <c r="BC252" t="s">
        <v>812</v>
      </c>
      <c r="BD252" t="s">
        <v>94</v>
      </c>
      <c r="BF252" t="s">
        <v>449</v>
      </c>
      <c r="BG252">
        <v>1</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1.6000000000022899E-2</v>
      </c>
      <c r="CM252">
        <v>0</v>
      </c>
      <c r="CN252">
        <v>0.02</v>
      </c>
      <c r="CO252">
        <v>0</v>
      </c>
      <c r="CP252">
        <v>0</v>
      </c>
      <c r="CQ252">
        <v>0.02</v>
      </c>
      <c r="CR252">
        <v>0.02</v>
      </c>
      <c r="CS252">
        <v>0.02</v>
      </c>
      <c r="CT252">
        <v>0.02</v>
      </c>
      <c r="DE252" t="s">
        <v>0</v>
      </c>
    </row>
    <row r="253" spans="1:109" hidden="1" x14ac:dyDescent="0.35">
      <c r="A253">
        <v>61613</v>
      </c>
      <c r="D253" t="s">
        <v>121</v>
      </c>
      <c r="E253" t="s">
        <v>99</v>
      </c>
      <c r="F253" t="s">
        <v>98</v>
      </c>
      <c r="G253" t="s">
        <v>97</v>
      </c>
      <c r="J253">
        <v>356539063</v>
      </c>
      <c r="AL253">
        <v>4605286</v>
      </c>
      <c r="AM253" t="s">
        <v>114</v>
      </c>
      <c r="AN253" t="s">
        <v>202</v>
      </c>
      <c r="AO253" t="s">
        <v>809</v>
      </c>
      <c r="AP253" t="s">
        <v>811</v>
      </c>
      <c r="AR253" s="1">
        <v>41200</v>
      </c>
      <c r="AX253">
        <v>11</v>
      </c>
      <c r="AY253">
        <v>659729</v>
      </c>
      <c r="AZ253">
        <v>5548339</v>
      </c>
      <c r="BA253">
        <v>1563</v>
      </c>
      <c r="BB253" t="s">
        <v>637</v>
      </c>
      <c r="BC253" t="s">
        <v>810</v>
      </c>
      <c r="BD253" t="s">
        <v>94</v>
      </c>
      <c r="BF253" t="s">
        <v>449</v>
      </c>
      <c r="BG253">
        <v>1</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0</v>
      </c>
      <c r="CF253">
        <v>0</v>
      </c>
      <c r="CG253">
        <v>0</v>
      </c>
      <c r="CH253">
        <v>0</v>
      </c>
      <c r="CI253">
        <v>0</v>
      </c>
      <c r="CJ253">
        <v>0</v>
      </c>
      <c r="CK253">
        <v>0.32791463463250398</v>
      </c>
      <c r="CL253">
        <v>3.66505589515477</v>
      </c>
      <c r="CM253">
        <v>0.33</v>
      </c>
      <c r="CN253">
        <v>3.67</v>
      </c>
      <c r="CO253">
        <v>0.33</v>
      </c>
      <c r="CP253">
        <v>0.33</v>
      </c>
      <c r="CQ253">
        <v>3.67</v>
      </c>
      <c r="CR253">
        <v>3.67</v>
      </c>
      <c r="CS253">
        <v>3.67</v>
      </c>
      <c r="CT253">
        <v>3.67</v>
      </c>
      <c r="DE253" t="s">
        <v>0</v>
      </c>
    </row>
    <row r="254" spans="1:109" hidden="1" x14ac:dyDescent="0.35">
      <c r="A254">
        <v>61616</v>
      </c>
      <c r="D254" t="s">
        <v>121</v>
      </c>
      <c r="E254" t="s">
        <v>99</v>
      </c>
      <c r="F254" t="s">
        <v>98</v>
      </c>
      <c r="G254" t="s">
        <v>97</v>
      </c>
      <c r="J254">
        <v>356563823</v>
      </c>
      <c r="AL254">
        <v>24706679</v>
      </c>
      <c r="AM254" t="s">
        <v>114</v>
      </c>
      <c r="AN254" t="s">
        <v>202</v>
      </c>
      <c r="AO254" t="s">
        <v>809</v>
      </c>
      <c r="AP254" t="s">
        <v>470</v>
      </c>
      <c r="AR254" s="1">
        <v>41199</v>
      </c>
      <c r="AX254">
        <v>11</v>
      </c>
      <c r="AY254">
        <v>659082</v>
      </c>
      <c r="AZ254">
        <v>5547215</v>
      </c>
      <c r="BA254">
        <v>3194</v>
      </c>
      <c r="BB254" t="s">
        <v>472</v>
      </c>
      <c r="BC254" t="s">
        <v>637</v>
      </c>
      <c r="BD254" t="s">
        <v>94</v>
      </c>
      <c r="BE254" t="s">
        <v>470</v>
      </c>
      <c r="BF254" t="s">
        <v>449</v>
      </c>
      <c r="BG254">
        <v>1</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4.1333057539498403</v>
      </c>
      <c r="CL254">
        <v>4.52495831806299</v>
      </c>
      <c r="CM254">
        <v>4.13</v>
      </c>
      <c r="CN254">
        <v>4.5199999999999996</v>
      </c>
      <c r="CO254">
        <v>4.13</v>
      </c>
      <c r="CP254">
        <v>4.13</v>
      </c>
      <c r="CQ254">
        <v>4.5199999999999996</v>
      </c>
      <c r="CR254">
        <v>4.5199999999999996</v>
      </c>
      <c r="CS254">
        <v>4.5199999999999996</v>
      </c>
      <c r="CT254">
        <v>4.5199999999999996</v>
      </c>
      <c r="DE254" t="s">
        <v>0</v>
      </c>
    </row>
    <row r="255" spans="1:109" hidden="1" x14ac:dyDescent="0.35">
      <c r="A255">
        <v>61623</v>
      </c>
      <c r="D255" t="s">
        <v>121</v>
      </c>
      <c r="E255" t="s">
        <v>99</v>
      </c>
      <c r="F255" t="s">
        <v>98</v>
      </c>
      <c r="G255" t="s">
        <v>97</v>
      </c>
      <c r="J255">
        <v>356563823</v>
      </c>
      <c r="AL255">
        <v>24706530</v>
      </c>
      <c r="AM255" t="s">
        <v>114</v>
      </c>
      <c r="AN255" t="s">
        <v>202</v>
      </c>
      <c r="AO255" t="s">
        <v>808</v>
      </c>
      <c r="AP255" t="s">
        <v>470</v>
      </c>
      <c r="AR255" s="1">
        <v>41199</v>
      </c>
      <c r="AX255">
        <v>11</v>
      </c>
      <c r="AY255">
        <v>661417</v>
      </c>
      <c r="AZ255">
        <v>5545283</v>
      </c>
      <c r="BA255">
        <v>7152</v>
      </c>
      <c r="BB255" t="s">
        <v>472</v>
      </c>
      <c r="BC255" t="s">
        <v>574</v>
      </c>
      <c r="BD255" t="s">
        <v>94</v>
      </c>
      <c r="BE255" t="s">
        <v>470</v>
      </c>
      <c r="BF255" t="s">
        <v>449</v>
      </c>
      <c r="BG255">
        <v>1</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0</v>
      </c>
      <c r="CK255">
        <v>1.3008011883591299</v>
      </c>
      <c r="CL255">
        <v>1.4704537524724299</v>
      </c>
      <c r="CM255">
        <v>1.3</v>
      </c>
      <c r="CN255">
        <v>1.47</v>
      </c>
      <c r="CO255">
        <v>1.3</v>
      </c>
      <c r="CP255">
        <v>1.3</v>
      </c>
      <c r="CQ255">
        <v>1.47</v>
      </c>
      <c r="CR255">
        <v>1.47</v>
      </c>
      <c r="CS255">
        <v>1.47</v>
      </c>
      <c r="CT255">
        <v>1.47</v>
      </c>
      <c r="DE255" t="s">
        <v>0</v>
      </c>
    </row>
    <row r="256" spans="1:109" hidden="1" x14ac:dyDescent="0.35">
      <c r="A256">
        <v>61627</v>
      </c>
      <c r="D256" t="s">
        <v>121</v>
      </c>
      <c r="E256" t="s">
        <v>99</v>
      </c>
      <c r="F256" t="s">
        <v>98</v>
      </c>
      <c r="G256" t="s">
        <v>97</v>
      </c>
      <c r="J256">
        <v>356563823</v>
      </c>
      <c r="AL256">
        <v>4606318</v>
      </c>
      <c r="AM256" t="s">
        <v>114</v>
      </c>
      <c r="AN256" t="s">
        <v>202</v>
      </c>
      <c r="AO256" t="s">
        <v>808</v>
      </c>
      <c r="AP256" t="s">
        <v>470</v>
      </c>
      <c r="AR256" s="1">
        <v>41199</v>
      </c>
      <c r="AX256">
        <v>11</v>
      </c>
      <c r="AY256">
        <v>662307</v>
      </c>
      <c r="AZ256">
        <v>5544622</v>
      </c>
      <c r="BA256">
        <v>8484</v>
      </c>
      <c r="BB256" t="s">
        <v>472</v>
      </c>
      <c r="BC256" t="s">
        <v>807</v>
      </c>
      <c r="BD256" t="s">
        <v>94</v>
      </c>
      <c r="BE256" t="s">
        <v>470</v>
      </c>
      <c r="BF256" t="s">
        <v>449</v>
      </c>
      <c r="BG256">
        <v>1</v>
      </c>
      <c r="BM256">
        <v>0</v>
      </c>
      <c r="BN256">
        <v>0</v>
      </c>
      <c r="BO256">
        <v>0</v>
      </c>
      <c r="BP256">
        <v>0</v>
      </c>
      <c r="BQ256">
        <v>0</v>
      </c>
      <c r="BR256">
        <v>0</v>
      </c>
      <c r="BS256">
        <v>0</v>
      </c>
      <c r="BT256">
        <v>0</v>
      </c>
      <c r="BU256">
        <v>0</v>
      </c>
      <c r="BV256">
        <v>0</v>
      </c>
      <c r="BW256">
        <v>0</v>
      </c>
      <c r="BX256">
        <v>0</v>
      </c>
      <c r="BY256">
        <v>0</v>
      </c>
      <c r="BZ256">
        <v>0</v>
      </c>
      <c r="CA256">
        <v>0</v>
      </c>
      <c r="CB256">
        <v>0</v>
      </c>
      <c r="CC256">
        <v>0</v>
      </c>
      <c r="CD256">
        <v>0</v>
      </c>
      <c r="CE256">
        <v>0</v>
      </c>
      <c r="CF256">
        <v>0</v>
      </c>
      <c r="CG256">
        <v>0</v>
      </c>
      <c r="CH256">
        <v>0</v>
      </c>
      <c r="CI256">
        <v>0</v>
      </c>
      <c r="CJ256">
        <v>0</v>
      </c>
      <c r="CK256">
        <v>0</v>
      </c>
      <c r="CL256">
        <v>0.16965256411330501</v>
      </c>
      <c r="CM256">
        <v>0</v>
      </c>
      <c r="CN256">
        <v>0.16965256411330501</v>
      </c>
      <c r="CO256">
        <v>0</v>
      </c>
      <c r="CP256">
        <v>0</v>
      </c>
      <c r="CQ256">
        <v>0.17</v>
      </c>
      <c r="CR256">
        <v>0.17</v>
      </c>
      <c r="CS256">
        <v>0.17</v>
      </c>
      <c r="CT256">
        <v>0.17</v>
      </c>
      <c r="DE256" t="s">
        <v>0</v>
      </c>
    </row>
    <row r="257" spans="1:109" hidden="1" x14ac:dyDescent="0.35">
      <c r="A257">
        <v>61635</v>
      </c>
      <c r="D257" t="s">
        <v>121</v>
      </c>
      <c r="E257" t="s">
        <v>99</v>
      </c>
      <c r="F257" t="s">
        <v>98</v>
      </c>
      <c r="G257" t="s">
        <v>97</v>
      </c>
      <c r="J257">
        <v>356552735</v>
      </c>
      <c r="AL257">
        <v>4605969</v>
      </c>
      <c r="AM257" t="s">
        <v>114</v>
      </c>
      <c r="AN257" t="s">
        <v>202</v>
      </c>
      <c r="AO257" t="s">
        <v>806</v>
      </c>
      <c r="AP257" t="s">
        <v>805</v>
      </c>
      <c r="AQ257" t="s">
        <v>804</v>
      </c>
      <c r="AR257" s="1">
        <v>41199</v>
      </c>
      <c r="AX257">
        <v>11</v>
      </c>
      <c r="AY257">
        <v>658073</v>
      </c>
      <c r="AZ257">
        <v>5548576</v>
      </c>
      <c r="BA257">
        <v>1363</v>
      </c>
      <c r="BB257" t="s">
        <v>803</v>
      </c>
      <c r="BC257" t="s">
        <v>802</v>
      </c>
      <c r="BD257" t="s">
        <v>94</v>
      </c>
      <c r="BE257" t="s">
        <v>801</v>
      </c>
      <c r="BF257" t="s">
        <v>449</v>
      </c>
      <c r="BG257">
        <v>1</v>
      </c>
      <c r="BH257">
        <v>61608</v>
      </c>
      <c r="BI257">
        <v>1</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2.6351911439538198</v>
      </c>
      <c r="CL257">
        <v>3.3891584988364301</v>
      </c>
      <c r="CM257">
        <v>2.1</v>
      </c>
      <c r="CN257">
        <v>2.12</v>
      </c>
      <c r="CO257">
        <v>2.64</v>
      </c>
      <c r="CP257">
        <v>2.64</v>
      </c>
      <c r="CQ257">
        <v>3.39</v>
      </c>
      <c r="CR257">
        <v>3.39</v>
      </c>
      <c r="CS257">
        <v>3.39</v>
      </c>
      <c r="CT257">
        <v>3.39</v>
      </c>
      <c r="DE257" t="s">
        <v>0</v>
      </c>
    </row>
    <row r="258" spans="1:109" hidden="1" x14ac:dyDescent="0.35">
      <c r="A258">
        <v>61636</v>
      </c>
      <c r="D258" t="s">
        <v>121</v>
      </c>
      <c r="E258" t="s">
        <v>99</v>
      </c>
      <c r="F258" t="s">
        <v>258</v>
      </c>
      <c r="G258" t="s">
        <v>97</v>
      </c>
      <c r="H258" t="s">
        <v>306</v>
      </c>
      <c r="J258">
        <v>356563823</v>
      </c>
      <c r="AL258">
        <v>4600224</v>
      </c>
      <c r="AM258" t="s">
        <v>114</v>
      </c>
      <c r="AN258" t="s">
        <v>256</v>
      </c>
      <c r="AO258" t="s">
        <v>794</v>
      </c>
      <c r="AP258" t="s">
        <v>470</v>
      </c>
      <c r="AQ258" t="s">
        <v>800</v>
      </c>
      <c r="AR258" s="1">
        <v>41199</v>
      </c>
      <c r="AX258">
        <v>11</v>
      </c>
      <c r="AY258">
        <v>657194</v>
      </c>
      <c r="AZ258">
        <v>5547639</v>
      </c>
      <c r="BA258">
        <v>832</v>
      </c>
      <c r="BB258" t="s">
        <v>472</v>
      </c>
      <c r="BC258" t="s">
        <v>471</v>
      </c>
      <c r="BD258" t="s">
        <v>94</v>
      </c>
      <c r="BE258" t="s">
        <v>470</v>
      </c>
      <c r="BF258" t="s">
        <v>449</v>
      </c>
      <c r="BG258">
        <v>1</v>
      </c>
      <c r="BH258">
        <v>61608</v>
      </c>
      <c r="BI258">
        <v>1</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12.2930421913646</v>
      </c>
      <c r="CL258">
        <v>16.807080224389001</v>
      </c>
      <c r="CM258">
        <v>11.75</v>
      </c>
      <c r="CN258">
        <v>15.54</v>
      </c>
      <c r="CO258">
        <v>12.29</v>
      </c>
      <c r="CP258">
        <v>12.29</v>
      </c>
      <c r="CQ258">
        <v>16.809999999999999</v>
      </c>
      <c r="CR258">
        <v>16.809999999999999</v>
      </c>
      <c r="CS258">
        <v>16.809999999999999</v>
      </c>
      <c r="CT258">
        <v>16.809999999999999</v>
      </c>
      <c r="DE258" t="s">
        <v>0</v>
      </c>
    </row>
    <row r="259" spans="1:109" hidden="1" x14ac:dyDescent="0.35">
      <c r="A259">
        <v>62159</v>
      </c>
      <c r="D259" t="s">
        <v>121</v>
      </c>
      <c r="E259" t="s">
        <v>99</v>
      </c>
      <c r="F259" t="s">
        <v>258</v>
      </c>
      <c r="G259" t="s">
        <v>97</v>
      </c>
      <c r="H259" t="s">
        <v>306</v>
      </c>
      <c r="J259">
        <v>356559840</v>
      </c>
      <c r="AL259">
        <v>24706510</v>
      </c>
      <c r="AM259" t="s">
        <v>114</v>
      </c>
      <c r="AN259" t="s">
        <v>256</v>
      </c>
      <c r="AO259" t="s">
        <v>794</v>
      </c>
      <c r="AP259" t="s">
        <v>468</v>
      </c>
      <c r="AQ259" t="s">
        <v>799</v>
      </c>
      <c r="AR259" s="1">
        <v>41200</v>
      </c>
      <c r="AX259">
        <v>11</v>
      </c>
      <c r="AY259">
        <v>655997</v>
      </c>
      <c r="AZ259">
        <v>5552885</v>
      </c>
      <c r="BA259">
        <v>788</v>
      </c>
      <c r="BB259" t="s">
        <v>469</v>
      </c>
      <c r="BC259" t="s">
        <v>469</v>
      </c>
      <c r="BD259" t="s">
        <v>94</v>
      </c>
      <c r="BE259" t="s">
        <v>468</v>
      </c>
      <c r="BF259" t="s">
        <v>449</v>
      </c>
      <c r="BG259">
        <v>1</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4.3550888365579503</v>
      </c>
      <c r="CL259">
        <v>4.8402937825515302</v>
      </c>
      <c r="CM259">
        <v>4.3600000000000003</v>
      </c>
      <c r="CN259">
        <v>4.84</v>
      </c>
      <c r="CO259">
        <v>4.3600000000000003</v>
      </c>
      <c r="CP259">
        <v>4.3600000000000003</v>
      </c>
      <c r="CQ259">
        <v>4.84</v>
      </c>
      <c r="CR259">
        <v>4.84</v>
      </c>
      <c r="CS259">
        <v>4.84</v>
      </c>
      <c r="CT259">
        <v>4.84</v>
      </c>
      <c r="DE259" t="s">
        <v>0</v>
      </c>
    </row>
    <row r="260" spans="1:109" hidden="1" x14ac:dyDescent="0.35">
      <c r="A260">
        <v>62172</v>
      </c>
      <c r="D260" t="s">
        <v>121</v>
      </c>
      <c r="E260" t="s">
        <v>99</v>
      </c>
      <c r="F260" t="s">
        <v>98</v>
      </c>
      <c r="G260" t="s">
        <v>97</v>
      </c>
      <c r="J260">
        <v>356568903</v>
      </c>
      <c r="AL260">
        <v>24706636</v>
      </c>
      <c r="AM260" t="s">
        <v>114</v>
      </c>
      <c r="AN260" t="s">
        <v>202</v>
      </c>
      <c r="AO260" t="s">
        <v>798</v>
      </c>
      <c r="AP260" t="s">
        <v>71</v>
      </c>
      <c r="AR260" s="1">
        <v>41197</v>
      </c>
      <c r="AX260">
        <v>11</v>
      </c>
      <c r="AY260">
        <v>654090</v>
      </c>
      <c r="AZ260">
        <v>5534589</v>
      </c>
      <c r="BA260">
        <v>9325</v>
      </c>
      <c r="BB260" t="s">
        <v>322</v>
      </c>
      <c r="BC260" t="s">
        <v>797</v>
      </c>
      <c r="BD260" t="s">
        <v>94</v>
      </c>
      <c r="BE260" t="s">
        <v>71</v>
      </c>
      <c r="BF260" t="s">
        <v>449</v>
      </c>
      <c r="BG260">
        <v>1</v>
      </c>
      <c r="BH260" t="s">
        <v>796</v>
      </c>
      <c r="BI260">
        <v>35</v>
      </c>
      <c r="BM260">
        <v>0</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0</v>
      </c>
      <c r="CH260">
        <v>0</v>
      </c>
      <c r="CI260">
        <v>0</v>
      </c>
      <c r="CJ260">
        <v>0</v>
      </c>
      <c r="CK260">
        <v>112.689694585257</v>
      </c>
      <c r="CL260">
        <v>122.45414431853899</v>
      </c>
      <c r="CM260">
        <v>80.03</v>
      </c>
      <c r="CN260">
        <v>80.7</v>
      </c>
      <c r="CO260">
        <v>112.69</v>
      </c>
      <c r="CP260">
        <v>112.69</v>
      </c>
      <c r="CQ260">
        <v>122.45</v>
      </c>
      <c r="CR260">
        <v>122.45</v>
      </c>
      <c r="CS260">
        <v>129.51</v>
      </c>
      <c r="CT260">
        <v>129.51</v>
      </c>
      <c r="DE260" t="s">
        <v>0</v>
      </c>
    </row>
    <row r="261" spans="1:109" hidden="1" x14ac:dyDescent="0.35">
      <c r="A261">
        <v>62173</v>
      </c>
      <c r="D261" t="s">
        <v>121</v>
      </c>
      <c r="E261" t="s">
        <v>99</v>
      </c>
      <c r="F261" t="s">
        <v>98</v>
      </c>
      <c r="G261" t="s">
        <v>97</v>
      </c>
      <c r="H261" t="s">
        <v>795</v>
      </c>
      <c r="J261">
        <v>356568903</v>
      </c>
      <c r="AL261">
        <v>24706506</v>
      </c>
      <c r="AM261" t="s">
        <v>114</v>
      </c>
      <c r="AN261" t="s">
        <v>202</v>
      </c>
      <c r="AO261" t="s">
        <v>794</v>
      </c>
      <c r="AP261" t="s">
        <v>71</v>
      </c>
      <c r="AQ261" t="s">
        <v>793</v>
      </c>
      <c r="AR261" s="1">
        <v>41197</v>
      </c>
      <c r="AX261">
        <v>11</v>
      </c>
      <c r="AY261">
        <v>652967</v>
      </c>
      <c r="AZ261">
        <v>5528905</v>
      </c>
      <c r="BA261">
        <v>1289</v>
      </c>
      <c r="BB261" t="s">
        <v>322</v>
      </c>
      <c r="BC261" t="s">
        <v>322</v>
      </c>
      <c r="BD261" t="s">
        <v>94</v>
      </c>
      <c r="BE261" t="s">
        <v>71</v>
      </c>
      <c r="BF261" t="s">
        <v>449</v>
      </c>
      <c r="BG261">
        <v>1</v>
      </c>
      <c r="BH261" t="s">
        <v>792</v>
      </c>
      <c r="BI261">
        <v>51</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137.10168857967</v>
      </c>
      <c r="CL261">
        <v>152.06331416308299</v>
      </c>
      <c r="CM261">
        <v>99.42</v>
      </c>
      <c r="CN261">
        <v>103.01</v>
      </c>
      <c r="CO261">
        <v>137.1</v>
      </c>
      <c r="CP261">
        <v>137.1</v>
      </c>
      <c r="CQ261">
        <v>152.06</v>
      </c>
      <c r="CR261">
        <v>152.06</v>
      </c>
      <c r="CS261">
        <v>159.12</v>
      </c>
      <c r="CT261">
        <v>159.12</v>
      </c>
      <c r="DE261" t="s">
        <v>0</v>
      </c>
    </row>
    <row r="262" spans="1:109" hidden="1" x14ac:dyDescent="0.35">
      <c r="A262">
        <v>62176</v>
      </c>
      <c r="D262" t="s">
        <v>121</v>
      </c>
      <c r="E262" t="s">
        <v>120</v>
      </c>
      <c r="F262" t="s">
        <v>98</v>
      </c>
      <c r="G262" t="s">
        <v>97</v>
      </c>
      <c r="H262" t="s">
        <v>526</v>
      </c>
      <c r="J262">
        <v>356568903</v>
      </c>
      <c r="AL262">
        <v>24706505</v>
      </c>
      <c r="AM262" t="s">
        <v>114</v>
      </c>
      <c r="AN262" t="s">
        <v>202</v>
      </c>
      <c r="AO262" t="s">
        <v>791</v>
      </c>
      <c r="AP262" t="s">
        <v>71</v>
      </c>
      <c r="AR262" s="1">
        <v>41197</v>
      </c>
      <c r="AX262">
        <v>11</v>
      </c>
      <c r="AY262">
        <v>655182</v>
      </c>
      <c r="AZ262">
        <v>5543704</v>
      </c>
      <c r="BA262">
        <v>27836</v>
      </c>
      <c r="BB262" t="s">
        <v>322</v>
      </c>
      <c r="BC262" t="s">
        <v>790</v>
      </c>
      <c r="BD262" t="s">
        <v>94</v>
      </c>
      <c r="BE262" t="s">
        <v>71</v>
      </c>
      <c r="BF262" t="s">
        <v>449</v>
      </c>
      <c r="BG262">
        <v>1</v>
      </c>
      <c r="BH262" t="s">
        <v>789</v>
      </c>
      <c r="BI262">
        <v>27</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92.347085652482406</v>
      </c>
      <c r="CL262">
        <v>96.246953593405607</v>
      </c>
      <c r="CM262">
        <v>60.1</v>
      </c>
      <c r="CN262">
        <v>59.79</v>
      </c>
      <c r="CO262">
        <v>92.35</v>
      </c>
      <c r="CP262">
        <v>92.35</v>
      </c>
      <c r="CQ262">
        <v>96.25</v>
      </c>
      <c r="CR262">
        <v>96.25</v>
      </c>
      <c r="CS262">
        <v>103.27</v>
      </c>
      <c r="CT262">
        <v>103.27</v>
      </c>
      <c r="DE262" t="s">
        <v>0</v>
      </c>
    </row>
    <row r="263" spans="1:109" hidden="1" x14ac:dyDescent="0.35">
      <c r="A263">
        <v>62177</v>
      </c>
      <c r="D263" t="s">
        <v>121</v>
      </c>
      <c r="E263" t="s">
        <v>99</v>
      </c>
      <c r="F263" t="s">
        <v>98</v>
      </c>
      <c r="G263" t="s">
        <v>97</v>
      </c>
      <c r="I263" t="s">
        <v>7</v>
      </c>
      <c r="J263">
        <v>356568903</v>
      </c>
      <c r="AL263">
        <v>24706685</v>
      </c>
      <c r="AM263" t="s">
        <v>114</v>
      </c>
      <c r="AN263" t="s">
        <v>202</v>
      </c>
      <c r="AO263" t="s">
        <v>791</v>
      </c>
      <c r="AP263" t="s">
        <v>71</v>
      </c>
      <c r="AR263" s="1">
        <v>41197</v>
      </c>
      <c r="AX263">
        <v>11</v>
      </c>
      <c r="AY263">
        <v>655161</v>
      </c>
      <c r="AZ263">
        <v>5543701</v>
      </c>
      <c r="BA263">
        <v>27814</v>
      </c>
      <c r="BB263" t="s">
        <v>322</v>
      </c>
      <c r="BC263" t="s">
        <v>790</v>
      </c>
      <c r="BD263" t="s">
        <v>94</v>
      </c>
      <c r="BE263" t="s">
        <v>71</v>
      </c>
      <c r="BF263" t="s">
        <v>449</v>
      </c>
      <c r="BG263">
        <v>1</v>
      </c>
      <c r="BH263" t="s">
        <v>789</v>
      </c>
      <c r="BI263">
        <v>27</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92.369085652482497</v>
      </c>
      <c r="CL263">
        <v>96.268953593405698</v>
      </c>
      <c r="CM263">
        <v>60.13</v>
      </c>
      <c r="CN263">
        <v>59.81</v>
      </c>
      <c r="CO263">
        <v>92.37</v>
      </c>
      <c r="CP263">
        <v>92.37</v>
      </c>
      <c r="CQ263">
        <v>96.27</v>
      </c>
      <c r="CR263">
        <v>96.27</v>
      </c>
      <c r="CS263">
        <v>103.29</v>
      </c>
      <c r="CT263">
        <v>103.29</v>
      </c>
      <c r="DE263" t="s">
        <v>0</v>
      </c>
    </row>
    <row r="264" spans="1:109" hidden="1" x14ac:dyDescent="0.35">
      <c r="A264">
        <v>62183</v>
      </c>
      <c r="D264" t="s">
        <v>121</v>
      </c>
      <c r="E264" t="s">
        <v>99</v>
      </c>
      <c r="F264" t="s">
        <v>98</v>
      </c>
      <c r="G264" t="s">
        <v>97</v>
      </c>
      <c r="H264" t="s">
        <v>409</v>
      </c>
      <c r="J264">
        <v>356570469</v>
      </c>
      <c r="AL264">
        <v>24706656</v>
      </c>
      <c r="AM264" t="s">
        <v>114</v>
      </c>
      <c r="AN264" t="s">
        <v>202</v>
      </c>
      <c r="AO264" t="s">
        <v>409</v>
      </c>
      <c r="AP264" t="s">
        <v>786</v>
      </c>
      <c r="AQ264" t="s">
        <v>788</v>
      </c>
      <c r="AR264" s="1">
        <v>41199</v>
      </c>
      <c r="AX264">
        <v>11</v>
      </c>
      <c r="AY264">
        <v>644876</v>
      </c>
      <c r="AZ264">
        <v>5566339</v>
      </c>
      <c r="BA264">
        <v>1507</v>
      </c>
      <c r="BB264" t="s">
        <v>787</v>
      </c>
      <c r="BC264" t="s">
        <v>787</v>
      </c>
      <c r="BD264" t="s">
        <v>94</v>
      </c>
      <c r="BE264" t="s">
        <v>786</v>
      </c>
      <c r="BF264" t="s">
        <v>449</v>
      </c>
      <c r="BG264">
        <v>1</v>
      </c>
      <c r="BM264">
        <v>0</v>
      </c>
      <c r="BN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c r="CK264">
        <v>27.7467945545941</v>
      </c>
      <c r="CL264">
        <v>37.170843554554303</v>
      </c>
      <c r="CM264">
        <v>27.75</v>
      </c>
      <c r="CN264">
        <v>37.17</v>
      </c>
      <c r="CO264">
        <v>27.75</v>
      </c>
      <c r="CP264">
        <v>27.75</v>
      </c>
      <c r="CQ264">
        <v>37.17</v>
      </c>
      <c r="CR264">
        <v>37.17</v>
      </c>
      <c r="CS264">
        <v>37.17</v>
      </c>
      <c r="CT264">
        <v>37.17</v>
      </c>
      <c r="DE264" t="s">
        <v>0</v>
      </c>
    </row>
    <row r="265" spans="1:109" hidden="1" x14ac:dyDescent="0.35">
      <c r="A265">
        <v>62290</v>
      </c>
      <c r="D265" t="s">
        <v>121</v>
      </c>
      <c r="E265" t="s">
        <v>99</v>
      </c>
      <c r="F265" t="s">
        <v>98</v>
      </c>
      <c r="G265" t="s">
        <v>97</v>
      </c>
      <c r="H265" t="s">
        <v>409</v>
      </c>
      <c r="J265">
        <v>356570562</v>
      </c>
      <c r="AL265">
        <v>24706657</v>
      </c>
      <c r="AM265" t="s">
        <v>114</v>
      </c>
      <c r="AN265" t="s">
        <v>202</v>
      </c>
      <c r="AO265" t="s">
        <v>409</v>
      </c>
      <c r="AP265" t="s">
        <v>457</v>
      </c>
      <c r="AQ265" t="s">
        <v>785</v>
      </c>
      <c r="AR265" s="1">
        <v>41198</v>
      </c>
      <c r="AX265">
        <v>11</v>
      </c>
      <c r="AY265">
        <v>647696</v>
      </c>
      <c r="AZ265">
        <v>5584229</v>
      </c>
      <c r="BA265">
        <v>189688</v>
      </c>
      <c r="BB265" t="s">
        <v>459</v>
      </c>
      <c r="BC265" t="s">
        <v>580</v>
      </c>
      <c r="BD265" t="s">
        <v>94</v>
      </c>
      <c r="BE265" t="s">
        <v>457</v>
      </c>
      <c r="BF265" t="s">
        <v>449</v>
      </c>
      <c r="BG265">
        <v>1</v>
      </c>
      <c r="BH265" t="s">
        <v>784</v>
      </c>
      <c r="BI265">
        <v>6</v>
      </c>
      <c r="BM265">
        <v>0</v>
      </c>
      <c r="BN265">
        <v>0</v>
      </c>
      <c r="BO265">
        <v>0</v>
      </c>
      <c r="BP265">
        <v>0</v>
      </c>
      <c r="BQ265">
        <v>0</v>
      </c>
      <c r="BR265">
        <v>0</v>
      </c>
      <c r="BS265">
        <v>0</v>
      </c>
      <c r="BT265">
        <v>0</v>
      </c>
      <c r="BU265">
        <v>0</v>
      </c>
      <c r="BV265">
        <v>0</v>
      </c>
      <c r="BW265">
        <v>0</v>
      </c>
      <c r="BX265">
        <v>0</v>
      </c>
      <c r="BY265">
        <v>0</v>
      </c>
      <c r="BZ265">
        <v>0</v>
      </c>
      <c r="CA265">
        <v>0</v>
      </c>
      <c r="CB265">
        <v>0</v>
      </c>
      <c r="CC265">
        <v>0</v>
      </c>
      <c r="CD265">
        <v>0</v>
      </c>
      <c r="CE265">
        <v>0</v>
      </c>
      <c r="CF265">
        <v>0</v>
      </c>
      <c r="CG265">
        <v>0</v>
      </c>
      <c r="CH265">
        <v>0</v>
      </c>
      <c r="CI265">
        <v>0</v>
      </c>
      <c r="CJ265">
        <v>0</v>
      </c>
      <c r="CK265">
        <v>62.603588868944101</v>
      </c>
      <c r="CL265">
        <v>90.570190926218203</v>
      </c>
      <c r="CM265">
        <v>62.59</v>
      </c>
      <c r="CN265">
        <v>84.62</v>
      </c>
      <c r="CO265">
        <v>62.6</v>
      </c>
      <c r="CP265">
        <v>62.6</v>
      </c>
      <c r="CQ265">
        <v>90.57</v>
      </c>
      <c r="CR265">
        <v>90.57</v>
      </c>
      <c r="CS265">
        <v>90.57</v>
      </c>
      <c r="CT265">
        <v>90.57</v>
      </c>
      <c r="DE265" t="s">
        <v>0</v>
      </c>
    </row>
    <row r="266" spans="1:109" hidden="1" x14ac:dyDescent="0.35">
      <c r="A266">
        <v>62291</v>
      </c>
      <c r="D266" t="s">
        <v>121</v>
      </c>
      <c r="E266" t="s">
        <v>99</v>
      </c>
      <c r="F266" t="s">
        <v>98</v>
      </c>
      <c r="G266" t="s">
        <v>97</v>
      </c>
      <c r="H266" t="s">
        <v>409</v>
      </c>
      <c r="J266">
        <v>356565392</v>
      </c>
      <c r="AL266">
        <v>4605718</v>
      </c>
      <c r="AM266" t="s">
        <v>114</v>
      </c>
      <c r="AN266" t="s">
        <v>202</v>
      </c>
      <c r="AO266" t="s">
        <v>409</v>
      </c>
      <c r="AP266" t="s">
        <v>783</v>
      </c>
      <c r="AQ266" t="s">
        <v>296</v>
      </c>
      <c r="AR266" s="1">
        <v>41198</v>
      </c>
      <c r="AX266">
        <v>11</v>
      </c>
      <c r="AY266">
        <v>647946</v>
      </c>
      <c r="AZ266">
        <v>5580211</v>
      </c>
      <c r="BA266">
        <v>458</v>
      </c>
      <c r="BB266" t="s">
        <v>591</v>
      </c>
      <c r="BC266" t="s">
        <v>591</v>
      </c>
      <c r="BD266" t="s">
        <v>94</v>
      </c>
      <c r="BE266" t="s">
        <v>590</v>
      </c>
      <c r="BF266" t="s">
        <v>449</v>
      </c>
      <c r="BG266">
        <v>1</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2.2228488356417602</v>
      </c>
      <c r="CL266">
        <v>6.9749852743469001</v>
      </c>
      <c r="CM266">
        <v>2.2200000000000002</v>
      </c>
      <c r="CN266">
        <v>6.97</v>
      </c>
      <c r="CO266">
        <v>2.2200000000000002</v>
      </c>
      <c r="CP266">
        <v>2.2200000000000002</v>
      </c>
      <c r="CQ266">
        <v>6.97</v>
      </c>
      <c r="CR266">
        <v>6.97</v>
      </c>
      <c r="CS266">
        <v>6.97</v>
      </c>
      <c r="CT266">
        <v>6.97</v>
      </c>
      <c r="DE266" t="s">
        <v>0</v>
      </c>
    </row>
    <row r="267" spans="1:109" hidden="1" x14ac:dyDescent="0.35">
      <c r="A267">
        <v>62294</v>
      </c>
      <c r="D267" t="s">
        <v>121</v>
      </c>
      <c r="E267" t="s">
        <v>99</v>
      </c>
      <c r="F267" t="s">
        <v>258</v>
      </c>
      <c r="G267" t="s">
        <v>97</v>
      </c>
      <c r="J267">
        <v>356558844</v>
      </c>
      <c r="AL267">
        <v>4605318</v>
      </c>
      <c r="AM267" t="s">
        <v>782</v>
      </c>
      <c r="AN267" t="s">
        <v>256</v>
      </c>
      <c r="AO267" t="s">
        <v>781</v>
      </c>
      <c r="AP267" t="s">
        <v>579</v>
      </c>
      <c r="AQ267" t="s">
        <v>780</v>
      </c>
      <c r="AR267" s="1">
        <v>41916</v>
      </c>
      <c r="AX267">
        <v>11</v>
      </c>
      <c r="AY267">
        <v>648349</v>
      </c>
      <c r="AZ267">
        <v>5583889</v>
      </c>
      <c r="BA267">
        <v>883</v>
      </c>
      <c r="BB267" t="s">
        <v>580</v>
      </c>
      <c r="BC267" t="s">
        <v>580</v>
      </c>
      <c r="BD267" t="s">
        <v>94</v>
      </c>
      <c r="BE267" t="s">
        <v>579</v>
      </c>
      <c r="BF267" t="s">
        <v>449</v>
      </c>
      <c r="BG267">
        <v>1</v>
      </c>
      <c r="BH267">
        <v>1004604003</v>
      </c>
      <c r="BI267">
        <v>1</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0.116999999999953</v>
      </c>
      <c r="CL267">
        <v>1.9499211664843601</v>
      </c>
      <c r="CM267">
        <v>0.12</v>
      </c>
      <c r="CN267">
        <v>1.95</v>
      </c>
      <c r="CO267">
        <v>0.12</v>
      </c>
      <c r="CP267">
        <v>0.12</v>
      </c>
      <c r="CQ267">
        <v>1.95</v>
      </c>
      <c r="CR267">
        <v>1.95</v>
      </c>
      <c r="CS267">
        <v>1.95</v>
      </c>
      <c r="CT267">
        <v>1.95</v>
      </c>
      <c r="DE267" t="s">
        <v>0</v>
      </c>
    </row>
    <row r="268" spans="1:109" hidden="1" x14ac:dyDescent="0.35">
      <c r="A268">
        <v>62419</v>
      </c>
      <c r="D268" t="s">
        <v>121</v>
      </c>
      <c r="E268" t="s">
        <v>99</v>
      </c>
      <c r="F268" t="s">
        <v>98</v>
      </c>
      <c r="G268" t="s">
        <v>97</v>
      </c>
      <c r="J268">
        <v>356528119</v>
      </c>
      <c r="AL268">
        <v>24707142</v>
      </c>
      <c r="AM268" t="s">
        <v>114</v>
      </c>
      <c r="AN268" t="s">
        <v>202</v>
      </c>
      <c r="AO268" t="s">
        <v>6</v>
      </c>
      <c r="AP268" t="s">
        <v>293</v>
      </c>
      <c r="AQ268" t="s">
        <v>296</v>
      </c>
      <c r="AR268" s="1">
        <v>41193</v>
      </c>
      <c r="AX268">
        <v>11</v>
      </c>
      <c r="AY268">
        <v>653616</v>
      </c>
      <c r="AZ268">
        <v>5523376</v>
      </c>
      <c r="BA268">
        <v>343</v>
      </c>
      <c r="BB268" t="s">
        <v>295</v>
      </c>
      <c r="BC268" t="s">
        <v>295</v>
      </c>
      <c r="BD268" t="s">
        <v>94</v>
      </c>
      <c r="BE268" t="s">
        <v>293</v>
      </c>
      <c r="BF268" t="s">
        <v>449</v>
      </c>
      <c r="BG268">
        <v>1</v>
      </c>
      <c r="BH268" t="s">
        <v>481</v>
      </c>
      <c r="BI268">
        <v>4</v>
      </c>
      <c r="BM268">
        <v>0</v>
      </c>
      <c r="BN268">
        <v>0</v>
      </c>
      <c r="BO268">
        <v>0</v>
      </c>
      <c r="BP268">
        <v>0</v>
      </c>
      <c r="BQ268">
        <v>0</v>
      </c>
      <c r="BR268">
        <v>0</v>
      </c>
      <c r="BS268">
        <v>0</v>
      </c>
      <c r="BT268">
        <v>0</v>
      </c>
      <c r="BU268">
        <v>0</v>
      </c>
      <c r="BV268">
        <v>0</v>
      </c>
      <c r="BW268">
        <v>0</v>
      </c>
      <c r="BX268">
        <v>0</v>
      </c>
      <c r="BY268">
        <v>0</v>
      </c>
      <c r="BZ268">
        <v>0</v>
      </c>
      <c r="CA268">
        <v>0</v>
      </c>
      <c r="CB268">
        <v>0</v>
      </c>
      <c r="CC268">
        <v>0</v>
      </c>
      <c r="CD268">
        <v>0</v>
      </c>
      <c r="CE268">
        <v>0</v>
      </c>
      <c r="CF268">
        <v>0</v>
      </c>
      <c r="CG268">
        <v>0</v>
      </c>
      <c r="CH268">
        <v>0</v>
      </c>
      <c r="CI268">
        <v>0</v>
      </c>
      <c r="CJ268">
        <v>0</v>
      </c>
      <c r="CK268">
        <v>13.512556594936701</v>
      </c>
      <c r="CL268">
        <v>19.062396755484802</v>
      </c>
      <c r="CM268">
        <v>6.8</v>
      </c>
      <c r="CN268">
        <v>10.74</v>
      </c>
      <c r="CO268">
        <v>13.51</v>
      </c>
      <c r="CP268">
        <v>13.51</v>
      </c>
      <c r="CQ268">
        <v>19.059999999999999</v>
      </c>
      <c r="CR268">
        <v>19.059999999999999</v>
      </c>
      <c r="CS268">
        <v>19.059999999999999</v>
      </c>
      <c r="CT268">
        <v>19.059999999999999</v>
      </c>
      <c r="DE268" t="s">
        <v>0</v>
      </c>
    </row>
    <row r="269" spans="1:109" hidden="1" x14ac:dyDescent="0.35">
      <c r="A269">
        <v>62421</v>
      </c>
      <c r="D269" t="s">
        <v>121</v>
      </c>
      <c r="E269" t="s">
        <v>99</v>
      </c>
      <c r="F269" t="s">
        <v>98</v>
      </c>
      <c r="G269" t="s">
        <v>97</v>
      </c>
      <c r="J269">
        <v>356528119</v>
      </c>
      <c r="AL269">
        <v>4602266</v>
      </c>
      <c r="AM269" t="s">
        <v>114</v>
      </c>
      <c r="AN269" t="s">
        <v>202</v>
      </c>
      <c r="AO269" t="s">
        <v>297</v>
      </c>
      <c r="AP269" t="s">
        <v>293</v>
      </c>
      <c r="AQ269" t="s">
        <v>779</v>
      </c>
      <c r="AR269" s="1">
        <v>44094</v>
      </c>
      <c r="AX269">
        <v>11</v>
      </c>
      <c r="AY269">
        <v>656646</v>
      </c>
      <c r="AZ269">
        <v>5522255</v>
      </c>
      <c r="BA269">
        <v>4558</v>
      </c>
      <c r="BB269" t="s">
        <v>295</v>
      </c>
      <c r="BC269" t="s">
        <v>366</v>
      </c>
      <c r="BD269" t="s">
        <v>94</v>
      </c>
      <c r="BE269" t="s">
        <v>293</v>
      </c>
      <c r="BF269" t="s">
        <v>449</v>
      </c>
      <c r="BG269">
        <v>1</v>
      </c>
      <c r="BH269" t="s">
        <v>777</v>
      </c>
      <c r="BI269">
        <v>2</v>
      </c>
      <c r="BM269">
        <v>0</v>
      </c>
      <c r="BN269">
        <v>0</v>
      </c>
      <c r="BO269">
        <v>0</v>
      </c>
      <c r="BP269">
        <v>0</v>
      </c>
      <c r="BQ269">
        <v>0</v>
      </c>
      <c r="BR269">
        <v>0</v>
      </c>
      <c r="BS269">
        <v>0</v>
      </c>
      <c r="BT269">
        <v>0</v>
      </c>
      <c r="BU269">
        <v>0</v>
      </c>
      <c r="BV269">
        <v>0</v>
      </c>
      <c r="BW269">
        <v>0</v>
      </c>
      <c r="BX269">
        <v>0</v>
      </c>
      <c r="BY269">
        <v>0</v>
      </c>
      <c r="BZ269">
        <v>0</v>
      </c>
      <c r="CA269">
        <v>0</v>
      </c>
      <c r="CB269">
        <v>0</v>
      </c>
      <c r="CC269">
        <v>0</v>
      </c>
      <c r="CD269">
        <v>0</v>
      </c>
      <c r="CE269">
        <v>0</v>
      </c>
      <c r="CF269">
        <v>0</v>
      </c>
      <c r="CG269">
        <v>0</v>
      </c>
      <c r="CH269">
        <v>0</v>
      </c>
      <c r="CI269">
        <v>0</v>
      </c>
      <c r="CJ269">
        <v>0</v>
      </c>
      <c r="CK269">
        <v>3.72466886733408</v>
      </c>
      <c r="CL269">
        <v>7.0890908844775398</v>
      </c>
      <c r="CM269">
        <v>2.48</v>
      </c>
      <c r="CN269">
        <v>4.82</v>
      </c>
      <c r="CO269">
        <v>3.72</v>
      </c>
      <c r="CP269">
        <v>3.72</v>
      </c>
      <c r="CQ269">
        <v>7.09</v>
      </c>
      <c r="CR269">
        <v>7.09</v>
      </c>
      <c r="CS269">
        <v>7.09</v>
      </c>
      <c r="CT269">
        <v>7.09</v>
      </c>
      <c r="DE269" t="s">
        <v>0</v>
      </c>
    </row>
    <row r="270" spans="1:109" hidden="1" x14ac:dyDescent="0.35">
      <c r="A270">
        <v>62422</v>
      </c>
      <c r="D270" t="s">
        <v>121</v>
      </c>
      <c r="E270" t="s">
        <v>99</v>
      </c>
      <c r="F270" t="s">
        <v>98</v>
      </c>
      <c r="G270" t="s">
        <v>97</v>
      </c>
      <c r="J270">
        <v>356528119</v>
      </c>
      <c r="AL270">
        <v>4602883</v>
      </c>
      <c r="AM270" t="s">
        <v>114</v>
      </c>
      <c r="AN270" t="s">
        <v>202</v>
      </c>
      <c r="AO270" t="s">
        <v>297</v>
      </c>
      <c r="AP270" t="s">
        <v>293</v>
      </c>
      <c r="AQ270" t="s">
        <v>779</v>
      </c>
      <c r="AR270" s="1">
        <v>44094</v>
      </c>
      <c r="AX270">
        <v>11</v>
      </c>
      <c r="AY270">
        <v>659271</v>
      </c>
      <c r="AZ270">
        <v>5523694</v>
      </c>
      <c r="BA270">
        <v>7816</v>
      </c>
      <c r="BB270" t="s">
        <v>295</v>
      </c>
      <c r="BC270" t="s">
        <v>778</v>
      </c>
      <c r="BD270" t="s">
        <v>94</v>
      </c>
      <c r="BE270" t="s">
        <v>293</v>
      </c>
      <c r="BF270" t="s">
        <v>449</v>
      </c>
      <c r="BG270">
        <v>1</v>
      </c>
      <c r="BH270" t="s">
        <v>777</v>
      </c>
      <c r="BI270">
        <v>2</v>
      </c>
      <c r="BM270">
        <v>0</v>
      </c>
      <c r="BN270">
        <v>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0</v>
      </c>
      <c r="CH270">
        <v>0</v>
      </c>
      <c r="CI270">
        <v>0</v>
      </c>
      <c r="CJ270">
        <v>0</v>
      </c>
      <c r="CK270">
        <v>2.3288856926215402</v>
      </c>
      <c r="CL270">
        <v>3.8310909497946901</v>
      </c>
      <c r="CM270">
        <v>1.08</v>
      </c>
      <c r="CN270">
        <v>1.56</v>
      </c>
      <c r="CO270">
        <v>2.33</v>
      </c>
      <c r="CP270">
        <v>2.33</v>
      </c>
      <c r="CQ270">
        <v>3.83</v>
      </c>
      <c r="CR270">
        <v>3.83</v>
      </c>
      <c r="CS270">
        <v>3.83</v>
      </c>
      <c r="CT270">
        <v>3.83</v>
      </c>
      <c r="DE270" t="s">
        <v>0</v>
      </c>
    </row>
    <row r="271" spans="1:109" hidden="1" x14ac:dyDescent="0.35">
      <c r="A271">
        <v>62503</v>
      </c>
      <c r="D271" t="s">
        <v>121</v>
      </c>
      <c r="E271" t="s">
        <v>120</v>
      </c>
      <c r="F271" t="s">
        <v>98</v>
      </c>
      <c r="G271" t="s">
        <v>97</v>
      </c>
      <c r="H271" t="s">
        <v>776</v>
      </c>
      <c r="J271">
        <v>356559093</v>
      </c>
      <c r="AL271">
        <v>24703992</v>
      </c>
      <c r="AM271" t="s">
        <v>114</v>
      </c>
      <c r="AN271" t="s">
        <v>202</v>
      </c>
      <c r="AO271" t="s">
        <v>775</v>
      </c>
      <c r="AP271" t="s">
        <v>465</v>
      </c>
      <c r="AQ271" t="s">
        <v>296</v>
      </c>
      <c r="AR271" s="1">
        <v>41201</v>
      </c>
      <c r="AX271">
        <v>11</v>
      </c>
      <c r="AY271">
        <v>639411</v>
      </c>
      <c r="AZ271">
        <v>5481563</v>
      </c>
      <c r="BA271">
        <v>147</v>
      </c>
      <c r="BB271" t="s">
        <v>467</v>
      </c>
      <c r="BC271" t="s">
        <v>467</v>
      </c>
      <c r="BD271" t="s">
        <v>94</v>
      </c>
      <c r="BE271" t="s">
        <v>465</v>
      </c>
      <c r="BF271" t="s">
        <v>449</v>
      </c>
      <c r="BG271">
        <v>1</v>
      </c>
      <c r="BH271" t="s">
        <v>464</v>
      </c>
      <c r="BI271">
        <v>4</v>
      </c>
      <c r="BM271">
        <v>0</v>
      </c>
      <c r="BN271">
        <v>0</v>
      </c>
      <c r="BO271">
        <v>0</v>
      </c>
      <c r="BP271">
        <v>0</v>
      </c>
      <c r="BQ271">
        <v>0</v>
      </c>
      <c r="BR271">
        <v>0</v>
      </c>
      <c r="BS271">
        <v>0</v>
      </c>
      <c r="BT271">
        <v>0</v>
      </c>
      <c r="BU271">
        <v>0</v>
      </c>
      <c r="BV271">
        <v>0</v>
      </c>
      <c r="BW271">
        <v>0</v>
      </c>
      <c r="BX271">
        <v>0</v>
      </c>
      <c r="BY271">
        <v>0</v>
      </c>
      <c r="BZ271">
        <v>0</v>
      </c>
      <c r="CA271">
        <v>0</v>
      </c>
      <c r="CB271">
        <v>0</v>
      </c>
      <c r="CC271">
        <v>0</v>
      </c>
      <c r="CD271">
        <v>0</v>
      </c>
      <c r="CE271">
        <v>0</v>
      </c>
      <c r="CF271">
        <v>0</v>
      </c>
      <c r="CG271">
        <v>0</v>
      </c>
      <c r="CH271">
        <v>0</v>
      </c>
      <c r="CI271">
        <v>0</v>
      </c>
      <c r="CJ271">
        <v>0</v>
      </c>
      <c r="CK271">
        <v>11.4383157509008</v>
      </c>
      <c r="CL271">
        <v>12.722026234868499</v>
      </c>
      <c r="CM271">
        <v>11.44</v>
      </c>
      <c r="CN271">
        <v>11.99</v>
      </c>
      <c r="CO271">
        <v>11.44</v>
      </c>
      <c r="CP271">
        <v>11.44</v>
      </c>
      <c r="CQ271">
        <v>12.72</v>
      </c>
      <c r="CR271">
        <v>12.72</v>
      </c>
      <c r="CS271">
        <v>14.69</v>
      </c>
      <c r="CT271">
        <v>14.69</v>
      </c>
      <c r="DE271" t="s">
        <v>0</v>
      </c>
    </row>
    <row r="272" spans="1:109" hidden="1" x14ac:dyDescent="0.35">
      <c r="A272">
        <v>62523</v>
      </c>
      <c r="D272" t="s">
        <v>121</v>
      </c>
      <c r="E272" t="s">
        <v>120</v>
      </c>
      <c r="F272" t="s">
        <v>98</v>
      </c>
      <c r="G272" t="s">
        <v>97</v>
      </c>
      <c r="H272" t="s">
        <v>774</v>
      </c>
      <c r="J272">
        <v>356533003</v>
      </c>
      <c r="AL272">
        <v>4600635</v>
      </c>
      <c r="AM272" t="s">
        <v>114</v>
      </c>
      <c r="AN272" t="s">
        <v>202</v>
      </c>
      <c r="AO272" t="s">
        <v>773</v>
      </c>
      <c r="AP272" t="s">
        <v>465</v>
      </c>
      <c r="AQ272" t="s">
        <v>296</v>
      </c>
      <c r="AR272" s="1">
        <v>41201</v>
      </c>
      <c r="AX272">
        <v>11</v>
      </c>
      <c r="AY272">
        <v>632177</v>
      </c>
      <c r="AZ272">
        <v>5485303</v>
      </c>
      <c r="BA272">
        <v>531</v>
      </c>
      <c r="BB272" t="s">
        <v>772</v>
      </c>
      <c r="BC272" t="s">
        <v>772</v>
      </c>
      <c r="BD272" t="s">
        <v>94</v>
      </c>
      <c r="BF272" t="s">
        <v>449</v>
      </c>
      <c r="BG272">
        <v>1</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0</v>
      </c>
      <c r="CK272">
        <v>0.53789014211316899</v>
      </c>
      <c r="CL272">
        <v>0.276399764021028</v>
      </c>
      <c r="CM272">
        <v>0.54</v>
      </c>
      <c r="CN272">
        <v>0.28000000000000003</v>
      </c>
      <c r="CO272">
        <v>0.54</v>
      </c>
      <c r="CP272">
        <v>0.54</v>
      </c>
      <c r="CQ272">
        <v>0.28000000000000003</v>
      </c>
      <c r="CR272">
        <v>0.28000000000000003</v>
      </c>
      <c r="CS272">
        <v>0.67</v>
      </c>
      <c r="CT272">
        <v>0.67</v>
      </c>
      <c r="DE272" t="s">
        <v>0</v>
      </c>
    </row>
    <row r="273" spans="1:109" hidden="1" x14ac:dyDescent="0.35">
      <c r="A273">
        <v>102966</v>
      </c>
      <c r="D273" t="s">
        <v>121</v>
      </c>
      <c r="E273" t="s">
        <v>99</v>
      </c>
      <c r="F273" t="s">
        <v>98</v>
      </c>
      <c r="G273" t="s">
        <v>97</v>
      </c>
      <c r="J273">
        <v>356565783</v>
      </c>
      <c r="AL273">
        <v>24706523</v>
      </c>
      <c r="AM273" t="s">
        <v>114</v>
      </c>
      <c r="AN273" t="s">
        <v>202</v>
      </c>
      <c r="AO273" t="s">
        <v>761</v>
      </c>
      <c r="AP273" t="s">
        <v>753</v>
      </c>
      <c r="AQ273" t="s">
        <v>752</v>
      </c>
      <c r="AR273" s="1">
        <v>41204</v>
      </c>
      <c r="AX273">
        <v>11</v>
      </c>
      <c r="AY273">
        <v>659746</v>
      </c>
      <c r="AZ273">
        <v>5494228</v>
      </c>
      <c r="BA273">
        <v>25138</v>
      </c>
      <c r="BB273" t="s">
        <v>329</v>
      </c>
      <c r="BC273" t="s">
        <v>495</v>
      </c>
      <c r="BD273" t="s">
        <v>94</v>
      </c>
      <c r="BE273" t="s">
        <v>23</v>
      </c>
      <c r="BF273" t="s">
        <v>449</v>
      </c>
      <c r="BG273">
        <v>1</v>
      </c>
      <c r="BH273" t="s">
        <v>494</v>
      </c>
      <c r="BI273">
        <v>29</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29.929717808635601</v>
      </c>
      <c r="CL273">
        <v>38.225440981887502</v>
      </c>
      <c r="CM273">
        <v>27.03</v>
      </c>
      <c r="CN273">
        <v>30.45</v>
      </c>
      <c r="CO273">
        <v>29.93</v>
      </c>
      <c r="CP273">
        <v>29.93</v>
      </c>
      <c r="CQ273">
        <v>38.229999999999997</v>
      </c>
      <c r="CR273">
        <v>38.229999999999997</v>
      </c>
      <c r="CS273">
        <v>38.229999999999997</v>
      </c>
      <c r="CT273">
        <v>38.229999999999997</v>
      </c>
      <c r="DE273" t="s">
        <v>0</v>
      </c>
    </row>
    <row r="274" spans="1:109" hidden="1" x14ac:dyDescent="0.35">
      <c r="A274">
        <v>102968</v>
      </c>
      <c r="D274" t="s">
        <v>121</v>
      </c>
      <c r="E274" t="s">
        <v>99</v>
      </c>
      <c r="F274" t="s">
        <v>98</v>
      </c>
      <c r="G274" t="s">
        <v>97</v>
      </c>
      <c r="J274">
        <v>356569540</v>
      </c>
      <c r="AL274">
        <v>4604259</v>
      </c>
      <c r="AM274" t="s">
        <v>114</v>
      </c>
      <c r="AN274" t="s">
        <v>202</v>
      </c>
      <c r="AO274" t="s">
        <v>771</v>
      </c>
      <c r="AP274" t="s">
        <v>769</v>
      </c>
      <c r="AQ274" t="s">
        <v>752</v>
      </c>
      <c r="AR274" s="1">
        <v>41204</v>
      </c>
      <c r="AX274">
        <v>11</v>
      </c>
      <c r="AY274">
        <v>658995</v>
      </c>
      <c r="AZ274">
        <v>5494092</v>
      </c>
      <c r="BA274">
        <v>557</v>
      </c>
      <c r="BB274" t="s">
        <v>770</v>
      </c>
      <c r="BC274" t="s">
        <v>770</v>
      </c>
      <c r="BD274" t="s">
        <v>94</v>
      </c>
      <c r="BE274" t="s">
        <v>769</v>
      </c>
      <c r="BF274" t="s">
        <v>449</v>
      </c>
      <c r="BG274">
        <v>1</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0.44294825175125302</v>
      </c>
      <c r="CL274">
        <v>1.64678521616148</v>
      </c>
      <c r="CM274">
        <v>0.44</v>
      </c>
      <c r="CN274">
        <v>1.65</v>
      </c>
      <c r="CO274">
        <v>0.44</v>
      </c>
      <c r="CP274">
        <v>0.44</v>
      </c>
      <c r="CQ274">
        <v>1.65</v>
      </c>
      <c r="CR274">
        <v>1.65</v>
      </c>
      <c r="CS274">
        <v>1.65</v>
      </c>
      <c r="CT274">
        <v>1.65</v>
      </c>
      <c r="DE274" t="s">
        <v>0</v>
      </c>
    </row>
    <row r="275" spans="1:109" hidden="1" x14ac:dyDescent="0.35">
      <c r="A275">
        <v>102974</v>
      </c>
      <c r="D275" t="s">
        <v>121</v>
      </c>
      <c r="E275" t="s">
        <v>180</v>
      </c>
      <c r="F275" t="s">
        <v>98</v>
      </c>
      <c r="G275" t="s">
        <v>97</v>
      </c>
      <c r="I275" t="s">
        <v>7</v>
      </c>
      <c r="J275">
        <v>356565783</v>
      </c>
      <c r="AL275">
        <v>24706680</v>
      </c>
      <c r="AM275" t="s">
        <v>114</v>
      </c>
      <c r="AN275" t="s">
        <v>202</v>
      </c>
      <c r="AO275" t="s">
        <v>754</v>
      </c>
      <c r="AP275" t="s">
        <v>753</v>
      </c>
      <c r="AQ275" t="s">
        <v>752</v>
      </c>
      <c r="AR275" s="1">
        <v>41204</v>
      </c>
      <c r="AX275">
        <v>11</v>
      </c>
      <c r="AY275">
        <v>660467</v>
      </c>
      <c r="AZ275">
        <v>5493144</v>
      </c>
      <c r="BA275">
        <v>26786</v>
      </c>
      <c r="BB275" t="s">
        <v>329</v>
      </c>
      <c r="BC275" t="s">
        <v>768</v>
      </c>
      <c r="BD275" t="s">
        <v>94</v>
      </c>
      <c r="BE275" t="s">
        <v>23</v>
      </c>
      <c r="BF275" t="s">
        <v>449</v>
      </c>
      <c r="BG275">
        <v>1</v>
      </c>
      <c r="BH275" t="s">
        <v>767</v>
      </c>
      <c r="BI275">
        <v>28</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28.297086722034202</v>
      </c>
      <c r="CL275">
        <v>36.037447869091601</v>
      </c>
      <c r="CM275">
        <v>25.39</v>
      </c>
      <c r="CN275">
        <v>28.31</v>
      </c>
      <c r="CO275">
        <v>28.3</v>
      </c>
      <c r="CP275">
        <v>28.3</v>
      </c>
      <c r="CQ275">
        <v>36.04</v>
      </c>
      <c r="CR275">
        <v>36.04</v>
      </c>
      <c r="CS275">
        <v>36.04</v>
      </c>
      <c r="CT275">
        <v>36.04</v>
      </c>
      <c r="DE275" t="s">
        <v>0</v>
      </c>
    </row>
    <row r="276" spans="1:109" hidden="1" x14ac:dyDescent="0.35">
      <c r="A276">
        <v>102986</v>
      </c>
      <c r="D276" t="s">
        <v>121</v>
      </c>
      <c r="E276" t="s">
        <v>99</v>
      </c>
      <c r="F276" t="s">
        <v>98</v>
      </c>
      <c r="G276" t="s">
        <v>97</v>
      </c>
      <c r="J276">
        <v>356565325</v>
      </c>
      <c r="AM276" t="s">
        <v>114</v>
      </c>
      <c r="AN276" t="s">
        <v>202</v>
      </c>
      <c r="AO276" t="s">
        <v>766</v>
      </c>
      <c r="AP276" t="s">
        <v>765</v>
      </c>
      <c r="AQ276" t="s">
        <v>752</v>
      </c>
      <c r="AR276" s="1">
        <v>41200</v>
      </c>
      <c r="AX276">
        <v>11</v>
      </c>
      <c r="AY276">
        <v>658670</v>
      </c>
      <c r="AZ276">
        <v>5496849</v>
      </c>
      <c r="BA276">
        <v>903</v>
      </c>
      <c r="BB276" t="s">
        <v>764</v>
      </c>
      <c r="BC276" t="s">
        <v>764</v>
      </c>
      <c r="BD276" t="s">
        <v>94</v>
      </c>
      <c r="BE276" t="s">
        <v>763</v>
      </c>
      <c r="BF276" t="s">
        <v>449</v>
      </c>
      <c r="BG276">
        <v>1</v>
      </c>
      <c r="BM276">
        <v>0</v>
      </c>
      <c r="BN276">
        <v>0</v>
      </c>
      <c r="BO276">
        <v>0</v>
      </c>
      <c r="BP276">
        <v>0</v>
      </c>
      <c r="BQ276">
        <v>0</v>
      </c>
      <c r="BR276">
        <v>0</v>
      </c>
      <c r="BS276">
        <v>0</v>
      </c>
      <c r="BT276">
        <v>0</v>
      </c>
      <c r="BU276">
        <v>0</v>
      </c>
      <c r="BV276">
        <v>0</v>
      </c>
      <c r="BW276">
        <v>0</v>
      </c>
      <c r="BX276">
        <v>0</v>
      </c>
      <c r="BY276">
        <v>0</v>
      </c>
      <c r="BZ276">
        <v>0</v>
      </c>
      <c r="CA276">
        <v>0</v>
      </c>
      <c r="CB276">
        <v>0</v>
      </c>
      <c r="CC276">
        <v>0</v>
      </c>
      <c r="CD276">
        <v>0</v>
      </c>
      <c r="CE276">
        <v>0</v>
      </c>
      <c r="CF276">
        <v>0</v>
      </c>
      <c r="CG276">
        <v>0</v>
      </c>
      <c r="CH276">
        <v>0</v>
      </c>
      <c r="CI276">
        <v>0</v>
      </c>
      <c r="CJ276">
        <v>0</v>
      </c>
      <c r="CK276">
        <v>3.6344771208003701</v>
      </c>
      <c r="CL276">
        <v>4.8495683470681703</v>
      </c>
      <c r="CM276">
        <v>3.63</v>
      </c>
      <c r="CN276">
        <v>4.8499999999999996</v>
      </c>
      <c r="CO276">
        <v>3.63</v>
      </c>
      <c r="CP276">
        <v>3.63</v>
      </c>
      <c r="CQ276">
        <v>4.8499999999999996</v>
      </c>
      <c r="CR276">
        <v>4.8499999999999996</v>
      </c>
      <c r="CS276">
        <v>4.8499999999999996</v>
      </c>
      <c r="CT276">
        <v>4.8499999999999996</v>
      </c>
      <c r="DE276" t="s">
        <v>0</v>
      </c>
    </row>
    <row r="277" spans="1:109" hidden="1" x14ac:dyDescent="0.35">
      <c r="A277">
        <v>103001</v>
      </c>
      <c r="D277" t="s">
        <v>121</v>
      </c>
      <c r="E277" t="s">
        <v>120</v>
      </c>
      <c r="F277" t="s">
        <v>98</v>
      </c>
      <c r="G277" t="s">
        <v>97</v>
      </c>
      <c r="H277" t="s">
        <v>762</v>
      </c>
      <c r="J277">
        <v>356563592</v>
      </c>
      <c r="AM277" t="s">
        <v>114</v>
      </c>
      <c r="AN277" t="s">
        <v>202</v>
      </c>
      <c r="AO277" t="s">
        <v>761</v>
      </c>
      <c r="AP277" t="s">
        <v>760</v>
      </c>
      <c r="AQ277" t="s">
        <v>759</v>
      </c>
      <c r="AR277" s="1">
        <v>41205</v>
      </c>
      <c r="AX277">
        <v>11</v>
      </c>
      <c r="AY277">
        <v>667284</v>
      </c>
      <c r="AZ277">
        <v>5488257</v>
      </c>
      <c r="BA277">
        <v>126</v>
      </c>
      <c r="BB277" t="s">
        <v>498</v>
      </c>
      <c r="BC277" t="s">
        <v>498</v>
      </c>
      <c r="BD277" t="s">
        <v>94</v>
      </c>
      <c r="BE277" t="s">
        <v>497</v>
      </c>
      <c r="BF277" t="s">
        <v>449</v>
      </c>
      <c r="BG277">
        <v>1</v>
      </c>
      <c r="BH277" t="s">
        <v>496</v>
      </c>
      <c r="BI277">
        <v>11</v>
      </c>
      <c r="BM277">
        <v>0</v>
      </c>
      <c r="BN277">
        <v>0</v>
      </c>
      <c r="BO277">
        <v>0</v>
      </c>
      <c r="BP277">
        <v>0</v>
      </c>
      <c r="BQ277">
        <v>0</v>
      </c>
      <c r="BR277">
        <v>0</v>
      </c>
      <c r="BS277">
        <v>0</v>
      </c>
      <c r="BT277">
        <v>0</v>
      </c>
      <c r="BU277">
        <v>0</v>
      </c>
      <c r="BV277">
        <v>0</v>
      </c>
      <c r="BW277">
        <v>0</v>
      </c>
      <c r="BX277">
        <v>0</v>
      </c>
      <c r="BY277">
        <v>0</v>
      </c>
      <c r="BZ277">
        <v>0</v>
      </c>
      <c r="CA277">
        <v>0</v>
      </c>
      <c r="CB277">
        <v>0</v>
      </c>
      <c r="CC277">
        <v>0</v>
      </c>
      <c r="CD277">
        <v>0</v>
      </c>
      <c r="CE277">
        <v>0</v>
      </c>
      <c r="CF277">
        <v>0</v>
      </c>
      <c r="CG277">
        <v>0</v>
      </c>
      <c r="CH277">
        <v>0</v>
      </c>
      <c r="CI277">
        <v>0</v>
      </c>
      <c r="CJ277">
        <v>0</v>
      </c>
      <c r="CK277">
        <v>6.1832877570232299</v>
      </c>
      <c r="CL277">
        <v>9.0124746765272103</v>
      </c>
      <c r="CM277">
        <v>6.18</v>
      </c>
      <c r="CN277">
        <v>8.19</v>
      </c>
      <c r="CO277">
        <v>6.18</v>
      </c>
      <c r="CP277">
        <v>6.18</v>
      </c>
      <c r="CQ277">
        <v>9.01</v>
      </c>
      <c r="CR277">
        <v>9.01</v>
      </c>
      <c r="CS277">
        <v>9.01</v>
      </c>
      <c r="CT277">
        <v>9.01</v>
      </c>
      <c r="DE277" t="s">
        <v>0</v>
      </c>
    </row>
    <row r="278" spans="1:109" hidden="1" x14ac:dyDescent="0.35">
      <c r="A278">
        <v>103003</v>
      </c>
      <c r="D278" t="s">
        <v>121</v>
      </c>
      <c r="E278" t="s">
        <v>180</v>
      </c>
      <c r="F278" t="s">
        <v>98</v>
      </c>
      <c r="G278" t="s">
        <v>97</v>
      </c>
      <c r="I278" t="s">
        <v>7</v>
      </c>
      <c r="J278">
        <v>356565783</v>
      </c>
      <c r="AL278">
        <v>24706689</v>
      </c>
      <c r="AM278" t="s">
        <v>114</v>
      </c>
      <c r="AN278" t="s">
        <v>202</v>
      </c>
      <c r="AO278" t="s">
        <v>754</v>
      </c>
      <c r="AP278" t="s">
        <v>753</v>
      </c>
      <c r="AQ278" t="s">
        <v>752</v>
      </c>
      <c r="AR278" s="1">
        <v>41205</v>
      </c>
      <c r="AX278">
        <v>11</v>
      </c>
      <c r="AY278">
        <v>660602</v>
      </c>
      <c r="AZ278">
        <v>5502880</v>
      </c>
      <c r="BA278">
        <v>14956</v>
      </c>
      <c r="BB278" t="s">
        <v>329</v>
      </c>
      <c r="BC278" t="s">
        <v>492</v>
      </c>
      <c r="BD278" t="s">
        <v>94</v>
      </c>
      <c r="BE278" t="s">
        <v>23</v>
      </c>
      <c r="BF278" t="s">
        <v>449</v>
      </c>
      <c r="BG278">
        <v>1</v>
      </c>
      <c r="BH278" t="s">
        <v>491</v>
      </c>
      <c r="BI278">
        <v>48</v>
      </c>
      <c r="BM278">
        <v>0</v>
      </c>
      <c r="BN278">
        <v>0</v>
      </c>
      <c r="BO278">
        <v>0</v>
      </c>
      <c r="BP278">
        <v>0</v>
      </c>
      <c r="BQ278">
        <v>0</v>
      </c>
      <c r="BR278">
        <v>0</v>
      </c>
      <c r="BS278">
        <v>0</v>
      </c>
      <c r="BT278">
        <v>0</v>
      </c>
      <c r="BU278">
        <v>0</v>
      </c>
      <c r="BV278">
        <v>0</v>
      </c>
      <c r="BW278">
        <v>0</v>
      </c>
      <c r="BX278">
        <v>0</v>
      </c>
      <c r="BY278">
        <v>0</v>
      </c>
      <c r="BZ278">
        <v>0</v>
      </c>
      <c r="CA278">
        <v>0</v>
      </c>
      <c r="CB278">
        <v>0</v>
      </c>
      <c r="CC278">
        <v>0</v>
      </c>
      <c r="CD278">
        <v>0</v>
      </c>
      <c r="CE278">
        <v>0</v>
      </c>
      <c r="CF278">
        <v>0</v>
      </c>
      <c r="CG278">
        <v>0</v>
      </c>
      <c r="CH278">
        <v>0</v>
      </c>
      <c r="CI278">
        <v>0</v>
      </c>
      <c r="CJ278">
        <v>0</v>
      </c>
      <c r="CK278">
        <v>74.385476651730102</v>
      </c>
      <c r="CL278">
        <v>100.476046688453</v>
      </c>
      <c r="CM278">
        <v>69.099999999999994</v>
      </c>
      <c r="CN278">
        <v>85</v>
      </c>
      <c r="CO278">
        <v>74.39</v>
      </c>
      <c r="CP278">
        <v>74.39</v>
      </c>
      <c r="CQ278">
        <v>100.48</v>
      </c>
      <c r="CR278">
        <v>100.48</v>
      </c>
      <c r="CS278">
        <v>100.48</v>
      </c>
      <c r="CT278">
        <v>100.48</v>
      </c>
      <c r="DE278" t="s">
        <v>0</v>
      </c>
    </row>
    <row r="279" spans="1:109" hidden="1" x14ac:dyDescent="0.35">
      <c r="A279">
        <v>103015</v>
      </c>
      <c r="D279" t="s">
        <v>121</v>
      </c>
      <c r="E279" t="s">
        <v>99</v>
      </c>
      <c r="F279" t="s">
        <v>98</v>
      </c>
      <c r="G279" t="s">
        <v>97</v>
      </c>
      <c r="I279" t="s">
        <v>7</v>
      </c>
      <c r="J279">
        <v>356565783</v>
      </c>
      <c r="AL279">
        <v>24706681</v>
      </c>
      <c r="AM279" t="s">
        <v>114</v>
      </c>
      <c r="AN279" t="s">
        <v>202</v>
      </c>
      <c r="AO279" t="s">
        <v>754</v>
      </c>
      <c r="AP279" t="s">
        <v>753</v>
      </c>
      <c r="AQ279" t="s">
        <v>752</v>
      </c>
      <c r="AR279" s="1">
        <v>41205</v>
      </c>
      <c r="AX279">
        <v>11</v>
      </c>
      <c r="AY279">
        <v>663640</v>
      </c>
      <c r="AZ279">
        <v>5491052</v>
      </c>
      <c r="BA279">
        <v>32424</v>
      </c>
      <c r="BB279" t="s">
        <v>329</v>
      </c>
      <c r="BC279" t="s">
        <v>758</v>
      </c>
      <c r="BD279" t="s">
        <v>94</v>
      </c>
      <c r="BE279" t="s">
        <v>23</v>
      </c>
      <c r="BF279" t="s">
        <v>449</v>
      </c>
      <c r="BG279">
        <v>1</v>
      </c>
      <c r="BH279" t="s">
        <v>757</v>
      </c>
      <c r="BI279">
        <v>25</v>
      </c>
      <c r="BM279">
        <v>0</v>
      </c>
      <c r="BN279">
        <v>0</v>
      </c>
      <c r="BO279">
        <v>0</v>
      </c>
      <c r="BP279">
        <v>0</v>
      </c>
      <c r="BQ279">
        <v>0</v>
      </c>
      <c r="BR279">
        <v>0</v>
      </c>
      <c r="BS279">
        <v>0</v>
      </c>
      <c r="BT279">
        <v>0</v>
      </c>
      <c r="BU279">
        <v>0</v>
      </c>
      <c r="BV279">
        <v>0</v>
      </c>
      <c r="BW279">
        <v>0</v>
      </c>
      <c r="BX279">
        <v>0</v>
      </c>
      <c r="BY279">
        <v>0</v>
      </c>
      <c r="BZ279">
        <v>0</v>
      </c>
      <c r="CA279">
        <v>0</v>
      </c>
      <c r="CB279">
        <v>0</v>
      </c>
      <c r="CC279">
        <v>0</v>
      </c>
      <c r="CD279">
        <v>0</v>
      </c>
      <c r="CE279">
        <v>0</v>
      </c>
      <c r="CF279">
        <v>0</v>
      </c>
      <c r="CG279">
        <v>0</v>
      </c>
      <c r="CH279">
        <v>0</v>
      </c>
      <c r="CI279">
        <v>0</v>
      </c>
      <c r="CJ279">
        <v>0</v>
      </c>
      <c r="CK279">
        <v>22.668823204729399</v>
      </c>
      <c r="CL279">
        <v>29.1691843517868</v>
      </c>
      <c r="CM279">
        <v>19.760000000000002</v>
      </c>
      <c r="CN279">
        <v>22.55</v>
      </c>
      <c r="CO279">
        <v>22.67</v>
      </c>
      <c r="CP279">
        <v>22.67</v>
      </c>
      <c r="CQ279">
        <v>29.17</v>
      </c>
      <c r="CR279">
        <v>29.17</v>
      </c>
      <c r="CS279">
        <v>29.17</v>
      </c>
      <c r="CT279">
        <v>29.17</v>
      </c>
      <c r="DE279" t="s">
        <v>0</v>
      </c>
    </row>
    <row r="280" spans="1:109" hidden="1" x14ac:dyDescent="0.35">
      <c r="A280">
        <v>103019</v>
      </c>
      <c r="D280" t="s">
        <v>121</v>
      </c>
      <c r="E280" t="s">
        <v>180</v>
      </c>
      <c r="F280" t="s">
        <v>98</v>
      </c>
      <c r="G280" t="s">
        <v>97</v>
      </c>
      <c r="I280" t="s">
        <v>7</v>
      </c>
      <c r="J280">
        <v>356565783</v>
      </c>
      <c r="AL280">
        <v>24706683</v>
      </c>
      <c r="AM280" t="s">
        <v>114</v>
      </c>
      <c r="AN280" t="s">
        <v>202</v>
      </c>
      <c r="AO280" t="s">
        <v>754</v>
      </c>
      <c r="AP280" t="s">
        <v>753</v>
      </c>
      <c r="AQ280" t="s">
        <v>752</v>
      </c>
      <c r="AR280" s="1">
        <v>41205</v>
      </c>
      <c r="AX280">
        <v>11</v>
      </c>
      <c r="AY280">
        <v>665253</v>
      </c>
      <c r="AZ280">
        <v>5489344</v>
      </c>
      <c r="BA280">
        <v>35221</v>
      </c>
      <c r="BB280" t="s">
        <v>329</v>
      </c>
      <c r="BC280" t="s">
        <v>756</v>
      </c>
      <c r="BD280" t="s">
        <v>94</v>
      </c>
      <c r="BE280" t="s">
        <v>23</v>
      </c>
      <c r="BF280" t="s">
        <v>449</v>
      </c>
      <c r="BG280">
        <v>1</v>
      </c>
      <c r="BH280" t="s">
        <v>755</v>
      </c>
      <c r="BI280">
        <v>23</v>
      </c>
      <c r="BM280">
        <v>0</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H280">
        <v>0</v>
      </c>
      <c r="CI280">
        <v>0</v>
      </c>
      <c r="CJ280">
        <v>0</v>
      </c>
      <c r="CK280">
        <v>19.7042346559337</v>
      </c>
      <c r="CL280">
        <v>26.065957044816699</v>
      </c>
      <c r="CM280">
        <v>16.97</v>
      </c>
      <c r="CN280">
        <v>19.61</v>
      </c>
      <c r="CO280">
        <v>19.7</v>
      </c>
      <c r="CP280">
        <v>19.7</v>
      </c>
      <c r="CQ280">
        <v>26.07</v>
      </c>
      <c r="CR280">
        <v>26.07</v>
      </c>
      <c r="CS280">
        <v>26.07</v>
      </c>
      <c r="CT280">
        <v>26.07</v>
      </c>
      <c r="DE280" t="s">
        <v>0</v>
      </c>
    </row>
    <row r="281" spans="1:109" hidden="1" x14ac:dyDescent="0.35">
      <c r="A281">
        <v>103025</v>
      </c>
      <c r="D281" t="s">
        <v>121</v>
      </c>
      <c r="E281" t="s">
        <v>180</v>
      </c>
      <c r="F281" t="s">
        <v>98</v>
      </c>
      <c r="G281" t="s">
        <v>97</v>
      </c>
      <c r="I281" t="s">
        <v>7</v>
      </c>
      <c r="J281">
        <v>356565783</v>
      </c>
      <c r="AL281">
        <v>24706694</v>
      </c>
      <c r="AM281" t="s">
        <v>114</v>
      </c>
      <c r="AN281" t="s">
        <v>202</v>
      </c>
      <c r="AO281" t="s">
        <v>754</v>
      </c>
      <c r="AP281" t="s">
        <v>753</v>
      </c>
      <c r="AQ281" t="s">
        <v>752</v>
      </c>
      <c r="AR281" s="1">
        <v>41205</v>
      </c>
      <c r="AX281">
        <v>11</v>
      </c>
      <c r="AY281">
        <v>659951</v>
      </c>
      <c r="AZ281">
        <v>5501098</v>
      </c>
      <c r="BA281">
        <v>16980</v>
      </c>
      <c r="BB281" t="s">
        <v>329</v>
      </c>
      <c r="BC281" t="s">
        <v>475</v>
      </c>
      <c r="BD281" t="s">
        <v>94</v>
      </c>
      <c r="BE281" t="s">
        <v>23</v>
      </c>
      <c r="BF281" t="s">
        <v>449</v>
      </c>
      <c r="BG281">
        <v>1</v>
      </c>
      <c r="BH281" t="s">
        <v>474</v>
      </c>
      <c r="BI281">
        <v>47</v>
      </c>
      <c r="BM281">
        <v>0</v>
      </c>
      <c r="BN281">
        <v>0</v>
      </c>
      <c r="BO281">
        <v>0</v>
      </c>
      <c r="BP281">
        <v>0</v>
      </c>
      <c r="BQ281">
        <v>0</v>
      </c>
      <c r="BR281">
        <v>0</v>
      </c>
      <c r="BS281">
        <v>0</v>
      </c>
      <c r="BT281">
        <v>0</v>
      </c>
      <c r="BU281">
        <v>0</v>
      </c>
      <c r="BV281">
        <v>0</v>
      </c>
      <c r="BW281">
        <v>0</v>
      </c>
      <c r="BX281">
        <v>0</v>
      </c>
      <c r="BY281">
        <v>0</v>
      </c>
      <c r="BZ281">
        <v>0</v>
      </c>
      <c r="CA281">
        <v>0</v>
      </c>
      <c r="CB281">
        <v>0</v>
      </c>
      <c r="CC281">
        <v>0</v>
      </c>
      <c r="CD281">
        <v>0</v>
      </c>
      <c r="CE281">
        <v>0</v>
      </c>
      <c r="CF281">
        <v>0</v>
      </c>
      <c r="CG281">
        <v>0</v>
      </c>
      <c r="CH281">
        <v>0</v>
      </c>
      <c r="CI281">
        <v>0</v>
      </c>
      <c r="CJ281">
        <v>0</v>
      </c>
      <c r="CK281">
        <v>72.362476715895298</v>
      </c>
      <c r="CL281">
        <v>98.2941618519407</v>
      </c>
      <c r="CM281">
        <v>67.08</v>
      </c>
      <c r="CN281">
        <v>82.83</v>
      </c>
      <c r="CO281">
        <v>72.36</v>
      </c>
      <c r="CP281">
        <v>72.36</v>
      </c>
      <c r="CQ281">
        <v>98.29</v>
      </c>
      <c r="CR281">
        <v>98.29</v>
      </c>
      <c r="CS281">
        <v>98.29</v>
      </c>
      <c r="CT281">
        <v>98.29</v>
      </c>
      <c r="DE281" t="s">
        <v>0</v>
      </c>
    </row>
    <row r="282" spans="1:109" hidden="1" x14ac:dyDescent="0.35">
      <c r="A282">
        <v>103047</v>
      </c>
      <c r="D282" t="s">
        <v>121</v>
      </c>
      <c r="E282" t="s">
        <v>99</v>
      </c>
      <c r="F282" t="s">
        <v>98</v>
      </c>
      <c r="G282" t="s">
        <v>97</v>
      </c>
      <c r="J282">
        <v>356562350</v>
      </c>
      <c r="AL282">
        <v>4602328</v>
      </c>
      <c r="AM282" t="s">
        <v>114</v>
      </c>
      <c r="AN282" t="s">
        <v>202</v>
      </c>
      <c r="AO282" t="s">
        <v>523</v>
      </c>
      <c r="AP282" t="s">
        <v>751</v>
      </c>
      <c r="AQ282" t="s">
        <v>750</v>
      </c>
      <c r="AR282" s="1">
        <v>41192</v>
      </c>
      <c r="AX282">
        <v>11</v>
      </c>
      <c r="AY282">
        <v>651171</v>
      </c>
      <c r="AZ282">
        <v>5475010</v>
      </c>
      <c r="BA282">
        <v>11282</v>
      </c>
      <c r="BB282" t="s">
        <v>555</v>
      </c>
      <c r="BC282" t="s">
        <v>749</v>
      </c>
      <c r="BD282" t="s">
        <v>94</v>
      </c>
      <c r="BE282" t="s">
        <v>56</v>
      </c>
      <c r="BF282" t="s">
        <v>449</v>
      </c>
      <c r="BG282">
        <v>1</v>
      </c>
      <c r="BL282">
        <v>24747400010858</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H282">
        <v>0</v>
      </c>
      <c r="CI282">
        <v>0</v>
      </c>
      <c r="CJ282">
        <v>0</v>
      </c>
      <c r="CK282">
        <v>1.5969678271440599</v>
      </c>
      <c r="CL282">
        <v>1.5969678271440599</v>
      </c>
      <c r="CM282">
        <v>1.6</v>
      </c>
      <c r="CN282">
        <v>1.6</v>
      </c>
      <c r="CO282">
        <v>1.6</v>
      </c>
      <c r="CP282">
        <v>1.6</v>
      </c>
      <c r="CQ282">
        <v>1.6</v>
      </c>
      <c r="CR282">
        <v>1.6</v>
      </c>
      <c r="CS282">
        <v>1.6</v>
      </c>
      <c r="CT282">
        <v>1.6</v>
      </c>
      <c r="DE282" t="s">
        <v>0</v>
      </c>
    </row>
    <row r="283" spans="1:109" hidden="1" x14ac:dyDescent="0.35">
      <c r="A283">
        <v>112320</v>
      </c>
      <c r="D283" t="s">
        <v>121</v>
      </c>
      <c r="E283" t="s">
        <v>99</v>
      </c>
      <c r="F283" t="s">
        <v>98</v>
      </c>
      <c r="G283" t="s">
        <v>97</v>
      </c>
      <c r="J283">
        <v>356566667</v>
      </c>
      <c r="AL283">
        <v>4606297</v>
      </c>
      <c r="AM283" t="s">
        <v>114</v>
      </c>
      <c r="AN283" t="s">
        <v>202</v>
      </c>
      <c r="AO283" t="s">
        <v>6</v>
      </c>
      <c r="AP283" t="s">
        <v>6</v>
      </c>
      <c r="AQ283" t="s">
        <v>746</v>
      </c>
      <c r="AR283" s="1">
        <v>41206</v>
      </c>
      <c r="AX283">
        <v>11</v>
      </c>
      <c r="AY283">
        <v>664195</v>
      </c>
      <c r="AZ283">
        <v>5515727</v>
      </c>
      <c r="BA283">
        <v>23412</v>
      </c>
      <c r="BB283" t="s">
        <v>452</v>
      </c>
      <c r="BC283" t="s">
        <v>748</v>
      </c>
      <c r="BD283" t="s">
        <v>94</v>
      </c>
      <c r="BE283" t="s">
        <v>450</v>
      </c>
      <c r="BF283" t="s">
        <v>449</v>
      </c>
      <c r="BG283">
        <v>1</v>
      </c>
      <c r="BH283">
        <v>1004606266</v>
      </c>
      <c r="BI283">
        <v>1</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c r="CK283">
        <v>8.9398130312135393</v>
      </c>
      <c r="CL283">
        <v>13.0286137264942</v>
      </c>
      <c r="CM283">
        <v>8.94</v>
      </c>
      <c r="CN283">
        <v>12.39</v>
      </c>
      <c r="CO283">
        <v>8.94</v>
      </c>
      <c r="CP283">
        <v>8.94</v>
      </c>
      <c r="CQ283">
        <v>13.03</v>
      </c>
      <c r="CR283">
        <v>13.03</v>
      </c>
      <c r="CS283">
        <v>13.03</v>
      </c>
      <c r="CT283">
        <v>13.03</v>
      </c>
      <c r="DE283" t="s">
        <v>0</v>
      </c>
    </row>
    <row r="284" spans="1:109" hidden="1" x14ac:dyDescent="0.35">
      <c r="A284">
        <v>112323</v>
      </c>
      <c r="D284" t="s">
        <v>121</v>
      </c>
      <c r="E284" t="s">
        <v>99</v>
      </c>
      <c r="F284" t="s">
        <v>98</v>
      </c>
      <c r="G284" t="s">
        <v>97</v>
      </c>
      <c r="J284">
        <v>356569311</v>
      </c>
      <c r="AL284">
        <v>4605613</v>
      </c>
      <c r="AM284" t="s">
        <v>114</v>
      </c>
      <c r="AN284" t="s">
        <v>202</v>
      </c>
      <c r="AO284" t="s">
        <v>747</v>
      </c>
      <c r="AP284" t="s">
        <v>450</v>
      </c>
      <c r="AQ284" t="s">
        <v>746</v>
      </c>
      <c r="AR284" s="1">
        <v>41206</v>
      </c>
      <c r="AX284">
        <v>11</v>
      </c>
      <c r="AY284">
        <v>665524</v>
      </c>
      <c r="AZ284">
        <v>5509817</v>
      </c>
      <c r="BA284">
        <v>677</v>
      </c>
      <c r="BB284" t="s">
        <v>441</v>
      </c>
      <c r="BC284" t="s">
        <v>441</v>
      </c>
      <c r="BD284" t="s">
        <v>94</v>
      </c>
      <c r="BF284" t="s">
        <v>449</v>
      </c>
      <c r="BG284">
        <v>1</v>
      </c>
      <c r="BH284" t="s">
        <v>745</v>
      </c>
      <c r="BI284">
        <v>2</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0</v>
      </c>
      <c r="CI284">
        <v>0</v>
      </c>
      <c r="CJ284">
        <v>0</v>
      </c>
      <c r="CK284">
        <v>0.30843159790807601</v>
      </c>
      <c r="CL284">
        <v>3.2587345672055599</v>
      </c>
      <c r="CM284">
        <v>0</v>
      </c>
      <c r="CN284">
        <v>0.12</v>
      </c>
      <c r="CO284">
        <v>0.31</v>
      </c>
      <c r="CP284">
        <v>0.31</v>
      </c>
      <c r="CQ284">
        <v>3.26</v>
      </c>
      <c r="CR284">
        <v>3.26</v>
      </c>
      <c r="CS284">
        <v>3.26</v>
      </c>
      <c r="CT284">
        <v>3.26</v>
      </c>
      <c r="DE284" t="s">
        <v>0</v>
      </c>
    </row>
    <row r="285" spans="1:109" hidden="1" x14ac:dyDescent="0.35">
      <c r="A285">
        <v>112326</v>
      </c>
      <c r="D285" t="s">
        <v>121</v>
      </c>
      <c r="E285" t="s">
        <v>99</v>
      </c>
      <c r="F285" t="s">
        <v>98</v>
      </c>
      <c r="G285" t="s">
        <v>97</v>
      </c>
      <c r="J285">
        <v>356569311</v>
      </c>
      <c r="AL285">
        <v>4600279</v>
      </c>
      <c r="AM285" t="s">
        <v>114</v>
      </c>
      <c r="AN285" t="s">
        <v>202</v>
      </c>
      <c r="AO285" t="s">
        <v>444</v>
      </c>
      <c r="AP285" t="s">
        <v>443</v>
      </c>
      <c r="AQ285" t="s">
        <v>7</v>
      </c>
      <c r="AR285" s="1">
        <v>41193</v>
      </c>
      <c r="AX285">
        <v>11</v>
      </c>
      <c r="AY285">
        <v>665252</v>
      </c>
      <c r="AZ285">
        <v>5509523</v>
      </c>
      <c r="BA285">
        <v>239</v>
      </c>
      <c r="BB285" t="s">
        <v>441</v>
      </c>
      <c r="BC285" t="s">
        <v>441</v>
      </c>
      <c r="BD285" t="s">
        <v>94</v>
      </c>
      <c r="BF285" t="s">
        <v>449</v>
      </c>
      <c r="BG285">
        <v>1</v>
      </c>
      <c r="BH285" t="s">
        <v>745</v>
      </c>
      <c r="BI285">
        <v>2</v>
      </c>
      <c r="BM285">
        <v>0</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0.74643159790805502</v>
      </c>
      <c r="CL285">
        <v>3.6967345672055401</v>
      </c>
      <c r="CM285">
        <v>0.44</v>
      </c>
      <c r="CN285">
        <v>0.55000000000000004</v>
      </c>
      <c r="CO285">
        <v>0.75</v>
      </c>
      <c r="CP285">
        <v>0.75</v>
      </c>
      <c r="CQ285">
        <v>3.7</v>
      </c>
      <c r="CR285">
        <v>3.7</v>
      </c>
      <c r="CS285">
        <v>3.7</v>
      </c>
      <c r="CT285">
        <v>3.7</v>
      </c>
      <c r="DE285" t="s">
        <v>0</v>
      </c>
    </row>
    <row r="286" spans="1:109" hidden="1" x14ac:dyDescent="0.35">
      <c r="A286">
        <v>112327</v>
      </c>
      <c r="D286" t="s">
        <v>121</v>
      </c>
      <c r="E286" t="s">
        <v>99</v>
      </c>
      <c r="F286" t="s">
        <v>98</v>
      </c>
      <c r="G286" t="s">
        <v>97</v>
      </c>
      <c r="J286">
        <v>356566667</v>
      </c>
      <c r="AL286">
        <v>24706563</v>
      </c>
      <c r="AM286" t="s">
        <v>114</v>
      </c>
      <c r="AN286" t="s">
        <v>202</v>
      </c>
      <c r="AO286" t="s">
        <v>444</v>
      </c>
      <c r="AP286" t="s">
        <v>450</v>
      </c>
      <c r="AQ286" t="s">
        <v>7</v>
      </c>
      <c r="AR286" s="1">
        <v>41193</v>
      </c>
      <c r="AX286">
        <v>11</v>
      </c>
      <c r="AY286">
        <v>664986</v>
      </c>
      <c r="AZ286">
        <v>5508994</v>
      </c>
      <c r="BA286">
        <v>13545</v>
      </c>
      <c r="BB286" t="s">
        <v>452</v>
      </c>
      <c r="BC286" t="s">
        <v>744</v>
      </c>
      <c r="BD286" t="s">
        <v>94</v>
      </c>
      <c r="BE286" t="s">
        <v>450</v>
      </c>
      <c r="BF286" t="s">
        <v>449</v>
      </c>
      <c r="BG286">
        <v>1</v>
      </c>
      <c r="BH286" t="s">
        <v>448</v>
      </c>
      <c r="BI286">
        <v>3</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19.33068730402</v>
      </c>
      <c r="CL286">
        <v>27.7293719966605</v>
      </c>
      <c r="CM286">
        <v>19.02</v>
      </c>
      <c r="CN286">
        <v>23.94</v>
      </c>
      <c r="CO286">
        <v>19.329999999999998</v>
      </c>
      <c r="CP286">
        <v>19.329999999999998</v>
      </c>
      <c r="CQ286">
        <v>27.73</v>
      </c>
      <c r="CR286">
        <v>27.73</v>
      </c>
      <c r="CS286">
        <v>27.73</v>
      </c>
      <c r="CT286">
        <v>27.73</v>
      </c>
      <c r="DE286" t="s">
        <v>0</v>
      </c>
    </row>
    <row r="287" spans="1:109" hidden="1" x14ac:dyDescent="0.35">
      <c r="A287">
        <v>112328</v>
      </c>
      <c r="D287" t="s">
        <v>121</v>
      </c>
      <c r="E287" t="s">
        <v>99</v>
      </c>
      <c r="F287" t="s">
        <v>258</v>
      </c>
      <c r="G287" t="s">
        <v>97</v>
      </c>
      <c r="J287">
        <v>356566667</v>
      </c>
      <c r="AL287">
        <v>24706512</v>
      </c>
      <c r="AM287" t="s">
        <v>114</v>
      </c>
      <c r="AN287" t="s">
        <v>256</v>
      </c>
      <c r="AO287" t="s">
        <v>743</v>
      </c>
      <c r="AP287" t="s">
        <v>450</v>
      </c>
      <c r="AQ287" t="s">
        <v>742</v>
      </c>
      <c r="AR287" s="1">
        <v>41193</v>
      </c>
      <c r="AX287">
        <v>11</v>
      </c>
      <c r="AY287">
        <v>665020</v>
      </c>
      <c r="AZ287">
        <v>5510308</v>
      </c>
      <c r="BA287">
        <v>15503</v>
      </c>
      <c r="BB287" t="s">
        <v>452</v>
      </c>
      <c r="BC287" t="s">
        <v>741</v>
      </c>
      <c r="BD287" t="s">
        <v>94</v>
      </c>
      <c r="BE287" t="s">
        <v>450</v>
      </c>
      <c r="BF287" t="s">
        <v>449</v>
      </c>
      <c r="BG287">
        <v>1</v>
      </c>
      <c r="BH287">
        <v>1004606266</v>
      </c>
      <c r="BI287">
        <v>1</v>
      </c>
      <c r="BM287">
        <v>0</v>
      </c>
      <c r="BN287">
        <v>0</v>
      </c>
      <c r="BO287">
        <v>0</v>
      </c>
      <c r="BP287">
        <v>0</v>
      </c>
      <c r="BQ287">
        <v>0</v>
      </c>
      <c r="BR287">
        <v>0</v>
      </c>
      <c r="BS287">
        <v>0</v>
      </c>
      <c r="BT287">
        <v>0</v>
      </c>
      <c r="BU287">
        <v>0</v>
      </c>
      <c r="BV287">
        <v>0</v>
      </c>
      <c r="BW287">
        <v>0</v>
      </c>
      <c r="BX287">
        <v>0</v>
      </c>
      <c r="BY287">
        <v>0</v>
      </c>
      <c r="BZ287">
        <v>0</v>
      </c>
      <c r="CA287">
        <v>0</v>
      </c>
      <c r="CB287">
        <v>0</v>
      </c>
      <c r="CC287">
        <v>0</v>
      </c>
      <c r="CD287">
        <v>0</v>
      </c>
      <c r="CE287">
        <v>0</v>
      </c>
      <c r="CF287">
        <v>0</v>
      </c>
      <c r="CG287">
        <v>0</v>
      </c>
      <c r="CH287">
        <v>0</v>
      </c>
      <c r="CI287">
        <v>0</v>
      </c>
      <c r="CJ287">
        <v>0</v>
      </c>
      <c r="CK287">
        <v>17.3345765792563</v>
      </c>
      <c r="CL287">
        <v>21.862836414307999</v>
      </c>
      <c r="CM287">
        <v>17.329999999999998</v>
      </c>
      <c r="CN287">
        <v>21.22</v>
      </c>
      <c r="CO287">
        <v>17.329999999999998</v>
      </c>
      <c r="CP287">
        <v>17.329999999999998</v>
      </c>
      <c r="CQ287">
        <v>21.86</v>
      </c>
      <c r="CR287">
        <v>21.86</v>
      </c>
      <c r="CS287">
        <v>21.86</v>
      </c>
      <c r="CT287">
        <v>21.86</v>
      </c>
      <c r="DE287" t="s">
        <v>0</v>
      </c>
    </row>
    <row r="288" spans="1:109" hidden="1" x14ac:dyDescent="0.35">
      <c r="A288">
        <v>112332</v>
      </c>
      <c r="D288" t="s">
        <v>121</v>
      </c>
      <c r="E288" t="s">
        <v>120</v>
      </c>
      <c r="F288" t="s">
        <v>98</v>
      </c>
      <c r="G288" t="s">
        <v>97</v>
      </c>
      <c r="H288" t="s">
        <v>525</v>
      </c>
      <c r="J288">
        <v>356566667</v>
      </c>
      <c r="AL288">
        <v>4600321</v>
      </c>
      <c r="AM288" t="s">
        <v>114</v>
      </c>
      <c r="AN288" t="s">
        <v>202</v>
      </c>
      <c r="AO288" t="s">
        <v>740</v>
      </c>
      <c r="AP288" t="s">
        <v>450</v>
      </c>
      <c r="AQ288" t="s">
        <v>739</v>
      </c>
      <c r="AR288" s="1">
        <v>41194</v>
      </c>
      <c r="AX288">
        <v>11</v>
      </c>
      <c r="AY288">
        <v>663166</v>
      </c>
      <c r="AZ288">
        <v>5503416</v>
      </c>
      <c r="BA288">
        <v>3677</v>
      </c>
      <c r="BB288" t="s">
        <v>452</v>
      </c>
      <c r="BC288" t="s">
        <v>566</v>
      </c>
      <c r="BD288" t="s">
        <v>94</v>
      </c>
      <c r="BE288" t="s">
        <v>450</v>
      </c>
      <c r="BF288" t="s">
        <v>449</v>
      </c>
      <c r="BG288">
        <v>1</v>
      </c>
      <c r="BH288" t="s">
        <v>493</v>
      </c>
      <c r="BI288">
        <v>20</v>
      </c>
      <c r="BM288">
        <v>0</v>
      </c>
      <c r="BN288">
        <v>0</v>
      </c>
      <c r="BO288">
        <v>0</v>
      </c>
      <c r="BP288">
        <v>0</v>
      </c>
      <c r="BQ288">
        <v>0</v>
      </c>
      <c r="BR288">
        <v>0</v>
      </c>
      <c r="BS288">
        <v>0</v>
      </c>
      <c r="BT288">
        <v>0</v>
      </c>
      <c r="BU288">
        <v>0</v>
      </c>
      <c r="BV288">
        <v>0</v>
      </c>
      <c r="BW288">
        <v>0</v>
      </c>
      <c r="BX288">
        <v>0</v>
      </c>
      <c r="BY288">
        <v>0</v>
      </c>
      <c r="BZ288">
        <v>0</v>
      </c>
      <c r="CA288">
        <v>0</v>
      </c>
      <c r="CB288">
        <v>0</v>
      </c>
      <c r="CC288">
        <v>0</v>
      </c>
      <c r="CD288">
        <v>0</v>
      </c>
      <c r="CE288">
        <v>0</v>
      </c>
      <c r="CF288">
        <v>0</v>
      </c>
      <c r="CG288">
        <v>0</v>
      </c>
      <c r="CH288">
        <v>0</v>
      </c>
      <c r="CI288">
        <v>0</v>
      </c>
      <c r="CJ288">
        <v>0</v>
      </c>
      <c r="CK288">
        <v>32.182011777305803</v>
      </c>
      <c r="CL288">
        <v>47.266411753773397</v>
      </c>
      <c r="CM288">
        <v>29.9</v>
      </c>
      <c r="CN288">
        <v>34.840000000000003</v>
      </c>
      <c r="CO288">
        <v>32.18</v>
      </c>
      <c r="CP288">
        <v>32.18</v>
      </c>
      <c r="CQ288">
        <v>47.27</v>
      </c>
      <c r="CR288">
        <v>47.27</v>
      </c>
      <c r="CS288">
        <v>47.27</v>
      </c>
      <c r="CT288">
        <v>47.27</v>
      </c>
      <c r="DE288" t="s">
        <v>0</v>
      </c>
    </row>
    <row r="289" spans="1:109" hidden="1" x14ac:dyDescent="0.35">
      <c r="A289">
        <v>112337</v>
      </c>
      <c r="D289" t="s">
        <v>121</v>
      </c>
      <c r="E289" t="s">
        <v>99</v>
      </c>
      <c r="F289" t="s">
        <v>98</v>
      </c>
      <c r="G289" t="s">
        <v>97</v>
      </c>
      <c r="J289">
        <v>356566667</v>
      </c>
      <c r="AL289">
        <v>4606616</v>
      </c>
      <c r="AM289" t="s">
        <v>114</v>
      </c>
      <c r="AN289" t="s">
        <v>202</v>
      </c>
      <c r="AO289" t="s">
        <v>738</v>
      </c>
      <c r="AP289" t="s">
        <v>450</v>
      </c>
      <c r="AQ289" t="s">
        <v>7</v>
      </c>
      <c r="AR289" s="1">
        <v>41194</v>
      </c>
      <c r="AX289">
        <v>11</v>
      </c>
      <c r="AY289">
        <v>664472</v>
      </c>
      <c r="AZ289">
        <v>5512931</v>
      </c>
      <c r="BA289">
        <v>19860</v>
      </c>
      <c r="BB289" t="s">
        <v>452</v>
      </c>
      <c r="BC289" t="s">
        <v>737</v>
      </c>
      <c r="BD289" t="s">
        <v>94</v>
      </c>
      <c r="BE289" t="s">
        <v>450</v>
      </c>
      <c r="BF289" t="s">
        <v>449</v>
      </c>
      <c r="BG289">
        <v>1</v>
      </c>
      <c r="BH289">
        <v>1004606266</v>
      </c>
      <c r="BI289">
        <v>1</v>
      </c>
      <c r="BM289">
        <v>0</v>
      </c>
      <c r="BN289">
        <v>0</v>
      </c>
      <c r="BO289">
        <v>0</v>
      </c>
      <c r="BP289">
        <v>0</v>
      </c>
      <c r="BQ289">
        <v>0</v>
      </c>
      <c r="BR289">
        <v>0</v>
      </c>
      <c r="BS289">
        <v>0</v>
      </c>
      <c r="BT289">
        <v>0</v>
      </c>
      <c r="BU289">
        <v>0</v>
      </c>
      <c r="BV289">
        <v>0</v>
      </c>
      <c r="BW289">
        <v>0</v>
      </c>
      <c r="BX289">
        <v>0</v>
      </c>
      <c r="BY289">
        <v>0</v>
      </c>
      <c r="BZ289">
        <v>0</v>
      </c>
      <c r="CA289">
        <v>0</v>
      </c>
      <c r="CB289">
        <v>0</v>
      </c>
      <c r="CC289">
        <v>0</v>
      </c>
      <c r="CD289">
        <v>0</v>
      </c>
      <c r="CE289">
        <v>0</v>
      </c>
      <c r="CF289">
        <v>0</v>
      </c>
      <c r="CG289">
        <v>0</v>
      </c>
      <c r="CH289">
        <v>0</v>
      </c>
      <c r="CI289">
        <v>0</v>
      </c>
      <c r="CJ289">
        <v>0</v>
      </c>
      <c r="CK289">
        <v>12.8817711356419</v>
      </c>
      <c r="CL289">
        <v>17.2855718309224</v>
      </c>
      <c r="CM289">
        <v>12.88</v>
      </c>
      <c r="CN289">
        <v>16.64</v>
      </c>
      <c r="CO289">
        <v>12.88</v>
      </c>
      <c r="CP289">
        <v>12.88</v>
      </c>
      <c r="CQ289">
        <v>17.29</v>
      </c>
      <c r="CR289">
        <v>17.29</v>
      </c>
      <c r="CS289">
        <v>17.29</v>
      </c>
      <c r="CT289">
        <v>17.29</v>
      </c>
      <c r="DE289" t="s">
        <v>0</v>
      </c>
    </row>
    <row r="290" spans="1:109" hidden="1" x14ac:dyDescent="0.35">
      <c r="A290">
        <v>197521</v>
      </c>
      <c r="B290">
        <v>197521</v>
      </c>
      <c r="D290" t="s">
        <v>121</v>
      </c>
      <c r="E290" t="s">
        <v>99</v>
      </c>
      <c r="F290" t="s">
        <v>104</v>
      </c>
      <c r="G290" t="s">
        <v>97</v>
      </c>
      <c r="H290" t="s">
        <v>409</v>
      </c>
      <c r="J290">
        <v>356518602</v>
      </c>
      <c r="K290" t="s">
        <v>19</v>
      </c>
      <c r="L290" t="s">
        <v>412</v>
      </c>
      <c r="M290" t="s">
        <v>39</v>
      </c>
      <c r="P290" t="s">
        <v>5</v>
      </c>
      <c r="Q290" t="s">
        <v>4</v>
      </c>
      <c r="R290" t="s">
        <v>12</v>
      </c>
      <c r="V290" t="s">
        <v>36</v>
      </c>
      <c r="AI290" t="s">
        <v>736</v>
      </c>
      <c r="AK290" t="s">
        <v>735</v>
      </c>
      <c r="AL290">
        <v>4605675</v>
      </c>
      <c r="AM290" t="s">
        <v>114</v>
      </c>
      <c r="AN290" t="s">
        <v>113</v>
      </c>
      <c r="AO290" t="s">
        <v>409</v>
      </c>
      <c r="AP290" t="s">
        <v>19</v>
      </c>
      <c r="AQ290" t="s">
        <v>734</v>
      </c>
      <c r="AR290" s="1">
        <v>44090</v>
      </c>
      <c r="AX290">
        <v>11</v>
      </c>
      <c r="AY290">
        <v>645229</v>
      </c>
      <c r="AZ290">
        <v>5567096</v>
      </c>
      <c r="BA290">
        <v>1674</v>
      </c>
      <c r="BB290" t="s">
        <v>733</v>
      </c>
      <c r="BC290" t="s">
        <v>733</v>
      </c>
      <c r="BD290" t="s">
        <v>94</v>
      </c>
      <c r="BF290" t="s">
        <v>449</v>
      </c>
      <c r="BG290">
        <v>1</v>
      </c>
      <c r="BM290">
        <v>0</v>
      </c>
      <c r="BN290">
        <v>0</v>
      </c>
      <c r="BO290">
        <v>0</v>
      </c>
      <c r="BP290">
        <v>0</v>
      </c>
      <c r="BQ290">
        <v>0</v>
      </c>
      <c r="BR290">
        <v>0</v>
      </c>
      <c r="BS290">
        <v>0</v>
      </c>
      <c r="BT290">
        <v>0</v>
      </c>
      <c r="BU290">
        <v>0</v>
      </c>
      <c r="BV290">
        <v>0</v>
      </c>
      <c r="BW290">
        <v>0</v>
      </c>
      <c r="BX290">
        <v>0</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0</v>
      </c>
      <c r="CS290">
        <v>0</v>
      </c>
      <c r="CT290">
        <v>0</v>
      </c>
      <c r="DE290" t="s">
        <v>0</v>
      </c>
    </row>
    <row r="291" spans="1:109" hidden="1" x14ac:dyDescent="0.35">
      <c r="A291">
        <v>197523</v>
      </c>
      <c r="B291">
        <v>197523</v>
      </c>
      <c r="D291" t="s">
        <v>121</v>
      </c>
      <c r="E291" t="s">
        <v>99</v>
      </c>
      <c r="F291" t="s">
        <v>104</v>
      </c>
      <c r="G291" t="s">
        <v>103</v>
      </c>
      <c r="H291" t="s">
        <v>409</v>
      </c>
      <c r="J291">
        <v>356517396</v>
      </c>
      <c r="K291" t="s">
        <v>19</v>
      </c>
      <c r="L291" t="s">
        <v>412</v>
      </c>
      <c r="M291" t="s">
        <v>39</v>
      </c>
      <c r="P291" t="s">
        <v>5</v>
      </c>
      <c r="Q291" t="s">
        <v>4</v>
      </c>
      <c r="R291" t="s">
        <v>52</v>
      </c>
      <c r="V291" t="s">
        <v>51</v>
      </c>
      <c r="AI291" t="s">
        <v>50</v>
      </c>
      <c r="AK291" t="s">
        <v>732</v>
      </c>
      <c r="AL291">
        <v>4605708</v>
      </c>
      <c r="AM291" t="s">
        <v>114</v>
      </c>
      <c r="AN291" t="s">
        <v>113</v>
      </c>
      <c r="AO291" t="s">
        <v>409</v>
      </c>
      <c r="AP291" t="s">
        <v>731</v>
      </c>
      <c r="AQ291" t="s">
        <v>730</v>
      </c>
      <c r="AR291" s="1">
        <v>44090</v>
      </c>
      <c r="AX291">
        <v>11</v>
      </c>
      <c r="AY291">
        <v>643611</v>
      </c>
      <c r="AZ291">
        <v>5559842</v>
      </c>
      <c r="BA291">
        <v>448</v>
      </c>
      <c r="BB291" t="s">
        <v>729</v>
      </c>
      <c r="BC291" t="s">
        <v>729</v>
      </c>
      <c r="BD291" t="s">
        <v>94</v>
      </c>
      <c r="BF291" t="s">
        <v>449</v>
      </c>
      <c r="BG291">
        <v>1</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DE291" t="s">
        <v>0</v>
      </c>
    </row>
    <row r="292" spans="1:109" hidden="1" x14ac:dyDescent="0.35">
      <c r="A292">
        <v>197524</v>
      </c>
      <c r="B292">
        <v>197524</v>
      </c>
      <c r="D292" t="s">
        <v>121</v>
      </c>
      <c r="E292" t="s">
        <v>99</v>
      </c>
      <c r="F292" t="s">
        <v>104</v>
      </c>
      <c r="G292" t="s">
        <v>119</v>
      </c>
      <c r="J292">
        <v>356529801</v>
      </c>
      <c r="K292" t="s">
        <v>19</v>
      </c>
      <c r="L292" t="s">
        <v>728</v>
      </c>
      <c r="M292" t="s">
        <v>39</v>
      </c>
      <c r="P292" t="s">
        <v>5</v>
      </c>
      <c r="Q292" t="s">
        <v>4</v>
      </c>
      <c r="R292" t="s">
        <v>52</v>
      </c>
      <c r="V292" t="s">
        <v>51</v>
      </c>
      <c r="AI292" t="s">
        <v>727</v>
      </c>
      <c r="AK292" t="s">
        <v>726</v>
      </c>
      <c r="AL292">
        <v>4606335</v>
      </c>
      <c r="AM292" t="s">
        <v>114</v>
      </c>
      <c r="AN292" t="s">
        <v>113</v>
      </c>
      <c r="AO292" t="s">
        <v>430</v>
      </c>
      <c r="AP292" t="s">
        <v>19</v>
      </c>
      <c r="AQ292" t="s">
        <v>725</v>
      </c>
      <c r="AR292" s="1">
        <v>44090</v>
      </c>
      <c r="AX292">
        <v>11</v>
      </c>
      <c r="AY292">
        <v>644828</v>
      </c>
      <c r="AZ292">
        <v>5559105</v>
      </c>
      <c r="BA292">
        <v>596</v>
      </c>
      <c r="BB292" t="s">
        <v>724</v>
      </c>
      <c r="BC292" t="s">
        <v>724</v>
      </c>
      <c r="BD292" t="s">
        <v>94</v>
      </c>
      <c r="BF292" t="s">
        <v>449</v>
      </c>
      <c r="BG292">
        <v>1</v>
      </c>
      <c r="BM292">
        <v>0</v>
      </c>
      <c r="BN292">
        <v>0</v>
      </c>
      <c r="BO292">
        <v>0</v>
      </c>
      <c r="BP292">
        <v>0</v>
      </c>
      <c r="BQ292">
        <v>0</v>
      </c>
      <c r="BR292">
        <v>0</v>
      </c>
      <c r="BS292">
        <v>0</v>
      </c>
      <c r="BT292">
        <v>0</v>
      </c>
      <c r="BU292">
        <v>0</v>
      </c>
      <c r="BV292">
        <v>0</v>
      </c>
      <c r="BW292">
        <v>0</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v>0</v>
      </c>
      <c r="CT292">
        <v>0</v>
      </c>
      <c r="DE292" t="s">
        <v>0</v>
      </c>
    </row>
    <row r="293" spans="1:109" hidden="1" x14ac:dyDescent="0.35">
      <c r="A293">
        <v>197527</v>
      </c>
      <c r="B293">
        <v>197527</v>
      </c>
      <c r="D293" t="s">
        <v>121</v>
      </c>
      <c r="E293" t="s">
        <v>99</v>
      </c>
      <c r="F293" t="s">
        <v>104</v>
      </c>
      <c r="G293" t="s">
        <v>119</v>
      </c>
      <c r="H293" t="s">
        <v>723</v>
      </c>
      <c r="J293">
        <v>356557682</v>
      </c>
      <c r="K293" t="s">
        <v>717</v>
      </c>
      <c r="L293" t="s">
        <v>409</v>
      </c>
      <c r="M293" t="s">
        <v>39</v>
      </c>
      <c r="N293" t="s">
        <v>722</v>
      </c>
      <c r="P293" t="s">
        <v>5</v>
      </c>
      <c r="Q293" t="s">
        <v>4</v>
      </c>
      <c r="R293" t="s">
        <v>52</v>
      </c>
      <c r="S293" t="s">
        <v>60</v>
      </c>
      <c r="AI293" t="s">
        <v>721</v>
      </c>
      <c r="AJ293" t="s">
        <v>720</v>
      </c>
      <c r="AK293" t="s">
        <v>719</v>
      </c>
      <c r="AL293">
        <v>4605697</v>
      </c>
      <c r="AM293" t="s">
        <v>114</v>
      </c>
      <c r="AN293" t="s">
        <v>113</v>
      </c>
      <c r="AO293" t="s">
        <v>409</v>
      </c>
      <c r="AP293" t="s">
        <v>717</v>
      </c>
      <c r="AQ293" t="s">
        <v>718</v>
      </c>
      <c r="AR293" s="1">
        <v>44090</v>
      </c>
      <c r="AX293">
        <v>11</v>
      </c>
      <c r="AY293">
        <v>648723</v>
      </c>
      <c r="AZ293">
        <v>5548196</v>
      </c>
      <c r="BA293">
        <v>124</v>
      </c>
      <c r="BB293" t="s">
        <v>461</v>
      </c>
      <c r="BC293" t="s">
        <v>461</v>
      </c>
      <c r="BD293" t="s">
        <v>94</v>
      </c>
      <c r="BE293" t="s">
        <v>717</v>
      </c>
      <c r="BF293" t="s">
        <v>449</v>
      </c>
      <c r="BG293">
        <v>1</v>
      </c>
      <c r="BH293" t="s">
        <v>716</v>
      </c>
      <c r="BI293">
        <v>2</v>
      </c>
      <c r="BM293">
        <v>0</v>
      </c>
      <c r="BN293">
        <v>0</v>
      </c>
      <c r="BO293">
        <v>0</v>
      </c>
      <c r="BP293">
        <v>0</v>
      </c>
      <c r="BQ293">
        <v>0</v>
      </c>
      <c r="BR293">
        <v>0</v>
      </c>
      <c r="BS293">
        <v>0</v>
      </c>
      <c r="BT293">
        <v>0</v>
      </c>
      <c r="BU293">
        <v>0</v>
      </c>
      <c r="BV293">
        <v>0</v>
      </c>
      <c r="BW293">
        <v>0</v>
      </c>
      <c r="BX293">
        <v>0</v>
      </c>
      <c r="BY293">
        <v>0</v>
      </c>
      <c r="BZ293">
        <v>0</v>
      </c>
      <c r="CA293">
        <v>0</v>
      </c>
      <c r="CB293">
        <v>0</v>
      </c>
      <c r="CC293">
        <v>0</v>
      </c>
      <c r="CD293">
        <v>0</v>
      </c>
      <c r="CE293">
        <v>0</v>
      </c>
      <c r="CF293">
        <v>0</v>
      </c>
      <c r="CG293">
        <v>0</v>
      </c>
      <c r="CH293">
        <v>0</v>
      </c>
      <c r="CI293">
        <v>0</v>
      </c>
      <c r="CJ293">
        <v>0</v>
      </c>
      <c r="CK293">
        <v>1.30000000000448E-2</v>
      </c>
      <c r="CL293">
        <v>0</v>
      </c>
      <c r="CM293">
        <v>0</v>
      </c>
      <c r="CN293">
        <v>0</v>
      </c>
      <c r="CO293">
        <v>0.01</v>
      </c>
      <c r="CP293">
        <v>0</v>
      </c>
      <c r="CQ293">
        <v>0</v>
      </c>
      <c r="CR293">
        <v>0</v>
      </c>
      <c r="CS293">
        <v>0.01</v>
      </c>
      <c r="CT293">
        <v>0</v>
      </c>
      <c r="DE293" t="s">
        <v>0</v>
      </c>
    </row>
    <row r="294" spans="1:109" hidden="1" x14ac:dyDescent="0.35">
      <c r="A294">
        <v>197539</v>
      </c>
      <c r="B294">
        <v>197539</v>
      </c>
      <c r="D294" t="s">
        <v>121</v>
      </c>
      <c r="E294" t="s">
        <v>99</v>
      </c>
      <c r="F294" t="s">
        <v>98</v>
      </c>
      <c r="G294" t="s">
        <v>97</v>
      </c>
      <c r="H294" t="s">
        <v>715</v>
      </c>
      <c r="J294">
        <v>356564642</v>
      </c>
      <c r="K294" t="s">
        <v>575</v>
      </c>
      <c r="L294" t="s">
        <v>708</v>
      </c>
      <c r="M294" t="s">
        <v>13</v>
      </c>
      <c r="P294" t="s">
        <v>5</v>
      </c>
      <c r="Q294" t="s">
        <v>4</v>
      </c>
      <c r="R294" t="s">
        <v>12</v>
      </c>
      <c r="S294" t="s">
        <v>2</v>
      </c>
      <c r="AI294" t="s">
        <v>206</v>
      </c>
      <c r="AK294" t="s">
        <v>714</v>
      </c>
      <c r="AL294">
        <v>4606091</v>
      </c>
      <c r="AM294" t="s">
        <v>114</v>
      </c>
      <c r="AN294" t="s">
        <v>202</v>
      </c>
      <c r="AO294" t="s">
        <v>708</v>
      </c>
      <c r="AP294" t="s">
        <v>575</v>
      </c>
      <c r="AQ294" t="s">
        <v>711</v>
      </c>
      <c r="AR294" s="1">
        <v>44092</v>
      </c>
      <c r="AX294">
        <v>11</v>
      </c>
      <c r="AY294">
        <v>648386</v>
      </c>
      <c r="AZ294">
        <v>5499540</v>
      </c>
      <c r="BA294">
        <v>406</v>
      </c>
      <c r="BB294" t="s">
        <v>577</v>
      </c>
      <c r="BC294" t="s">
        <v>577</v>
      </c>
      <c r="BD294" t="s">
        <v>94</v>
      </c>
      <c r="BE294" t="s">
        <v>575</v>
      </c>
      <c r="BF294" t="s">
        <v>449</v>
      </c>
      <c r="BG294">
        <v>1</v>
      </c>
      <c r="BM294">
        <v>0</v>
      </c>
      <c r="BN294">
        <v>0</v>
      </c>
      <c r="BO294">
        <v>0</v>
      </c>
      <c r="BP294">
        <v>0</v>
      </c>
      <c r="BQ294">
        <v>0</v>
      </c>
      <c r="BR294">
        <v>0</v>
      </c>
      <c r="BS294">
        <v>0</v>
      </c>
      <c r="BT294">
        <v>0</v>
      </c>
      <c r="BU294">
        <v>0</v>
      </c>
      <c r="BV294">
        <v>0</v>
      </c>
      <c r="BW294">
        <v>0</v>
      </c>
      <c r="BX294">
        <v>0</v>
      </c>
      <c r="BY294">
        <v>0</v>
      </c>
      <c r="BZ294">
        <v>0</v>
      </c>
      <c r="CA294">
        <v>0</v>
      </c>
      <c r="CB294">
        <v>0</v>
      </c>
      <c r="CC294">
        <v>0</v>
      </c>
      <c r="CD294">
        <v>0</v>
      </c>
      <c r="CE294">
        <v>0</v>
      </c>
      <c r="CF294">
        <v>0</v>
      </c>
      <c r="CG294">
        <v>0</v>
      </c>
      <c r="CH294">
        <v>0</v>
      </c>
      <c r="CI294">
        <v>0</v>
      </c>
      <c r="CJ294">
        <v>0</v>
      </c>
      <c r="CK294">
        <v>2.7710388431972701</v>
      </c>
      <c r="CL294">
        <v>3.26003314876256</v>
      </c>
      <c r="CM294">
        <v>2.77</v>
      </c>
      <c r="CN294">
        <v>3.26</v>
      </c>
      <c r="CO294">
        <v>2.77</v>
      </c>
      <c r="CP294">
        <v>2.77</v>
      </c>
      <c r="CQ294">
        <v>3.26</v>
      </c>
      <c r="CR294">
        <v>3.26</v>
      </c>
      <c r="CS294">
        <v>3.26</v>
      </c>
      <c r="CT294">
        <v>3.26</v>
      </c>
      <c r="DE294" t="s">
        <v>0</v>
      </c>
    </row>
    <row r="295" spans="1:109" hidden="1" x14ac:dyDescent="0.35">
      <c r="A295">
        <v>197540</v>
      </c>
      <c r="B295">
        <v>197540</v>
      </c>
      <c r="D295" t="s">
        <v>121</v>
      </c>
      <c r="E295" t="s">
        <v>99</v>
      </c>
      <c r="F295" t="s">
        <v>98</v>
      </c>
      <c r="G295" t="s">
        <v>97</v>
      </c>
      <c r="J295">
        <v>356564642</v>
      </c>
      <c r="K295" t="s">
        <v>575</v>
      </c>
      <c r="L295" t="s">
        <v>713</v>
      </c>
      <c r="M295" t="s">
        <v>13</v>
      </c>
      <c r="P295" t="s">
        <v>5</v>
      </c>
      <c r="Q295" t="s">
        <v>4</v>
      </c>
      <c r="R295" t="s">
        <v>12</v>
      </c>
      <c r="S295" t="s">
        <v>2</v>
      </c>
      <c r="AJ295" t="s">
        <v>206</v>
      </c>
      <c r="AK295" t="s">
        <v>712</v>
      </c>
      <c r="AM295" t="s">
        <v>114</v>
      </c>
      <c r="AN295" t="s">
        <v>202</v>
      </c>
      <c r="AP295" t="s">
        <v>575</v>
      </c>
      <c r="AQ295" t="s">
        <v>711</v>
      </c>
      <c r="AR295" s="1">
        <v>44092</v>
      </c>
      <c r="AX295">
        <v>11</v>
      </c>
      <c r="AY295">
        <v>648142</v>
      </c>
      <c r="AZ295">
        <v>5499986</v>
      </c>
      <c r="BA295">
        <v>957</v>
      </c>
      <c r="BB295" t="s">
        <v>577</v>
      </c>
      <c r="BC295" t="s">
        <v>576</v>
      </c>
      <c r="BD295" t="s">
        <v>94</v>
      </c>
      <c r="BE295" t="s">
        <v>575</v>
      </c>
      <c r="BF295" t="s">
        <v>449</v>
      </c>
      <c r="BG295">
        <v>1</v>
      </c>
      <c r="BM295">
        <v>0</v>
      </c>
      <c r="BN295">
        <v>0</v>
      </c>
      <c r="BO295">
        <v>0</v>
      </c>
      <c r="BP295">
        <v>0</v>
      </c>
      <c r="BQ295">
        <v>0</v>
      </c>
      <c r="BR295">
        <v>0</v>
      </c>
      <c r="BS295">
        <v>0</v>
      </c>
      <c r="BT295">
        <v>0</v>
      </c>
      <c r="BU295">
        <v>0</v>
      </c>
      <c r="BV295">
        <v>0</v>
      </c>
      <c r="BW295">
        <v>0</v>
      </c>
      <c r="BX295">
        <v>0</v>
      </c>
      <c r="BY295">
        <v>0</v>
      </c>
      <c r="BZ295">
        <v>0</v>
      </c>
      <c r="CA295">
        <v>0</v>
      </c>
      <c r="CB295">
        <v>0</v>
      </c>
      <c r="CC295">
        <v>0</v>
      </c>
      <c r="CD295">
        <v>0</v>
      </c>
      <c r="CE295">
        <v>0</v>
      </c>
      <c r="CF295">
        <v>0</v>
      </c>
      <c r="CG295">
        <v>0</v>
      </c>
      <c r="CH295">
        <v>0</v>
      </c>
      <c r="CI295">
        <v>0</v>
      </c>
      <c r="CJ295">
        <v>0</v>
      </c>
      <c r="CK295">
        <v>2.3010331721778501</v>
      </c>
      <c r="CL295">
        <v>2.7090331721777798</v>
      </c>
      <c r="CM295">
        <v>2.2999999999999998</v>
      </c>
      <c r="CN295">
        <v>2.71</v>
      </c>
      <c r="CO295">
        <v>2.2999999999999998</v>
      </c>
      <c r="CP295">
        <v>2.2999999999999998</v>
      </c>
      <c r="CQ295">
        <v>2.71</v>
      </c>
      <c r="CR295">
        <v>2.71</v>
      </c>
      <c r="CS295">
        <v>2.71</v>
      </c>
      <c r="CT295">
        <v>2.71</v>
      </c>
      <c r="DE295" t="s">
        <v>0</v>
      </c>
    </row>
    <row r="296" spans="1:109" hidden="1" x14ac:dyDescent="0.35">
      <c r="A296">
        <v>197541</v>
      </c>
      <c r="B296">
        <v>197541</v>
      </c>
      <c r="D296" t="s">
        <v>121</v>
      </c>
      <c r="E296" t="s">
        <v>99</v>
      </c>
      <c r="F296" t="s">
        <v>104</v>
      </c>
      <c r="G296" t="s">
        <v>119</v>
      </c>
      <c r="J296">
        <v>356540859</v>
      </c>
      <c r="K296" t="s">
        <v>19</v>
      </c>
      <c r="L296" t="s">
        <v>708</v>
      </c>
      <c r="M296" t="s">
        <v>39</v>
      </c>
      <c r="P296" t="s">
        <v>5</v>
      </c>
      <c r="Q296" t="s">
        <v>4</v>
      </c>
      <c r="R296" t="s">
        <v>52</v>
      </c>
      <c r="S296" t="s">
        <v>2</v>
      </c>
      <c r="V296" t="s">
        <v>36</v>
      </c>
      <c r="AI296" t="s">
        <v>710</v>
      </c>
      <c r="AK296" t="s">
        <v>709</v>
      </c>
      <c r="AL296">
        <v>4606094</v>
      </c>
      <c r="AM296" t="s">
        <v>114</v>
      </c>
      <c r="AN296" t="s">
        <v>113</v>
      </c>
      <c r="AO296" t="s">
        <v>708</v>
      </c>
      <c r="AP296" t="s">
        <v>19</v>
      </c>
      <c r="AQ296" t="s">
        <v>707</v>
      </c>
      <c r="AR296" s="1">
        <v>44092</v>
      </c>
      <c r="AX296">
        <v>11</v>
      </c>
      <c r="AY296">
        <v>647818</v>
      </c>
      <c r="AZ296">
        <v>5498483</v>
      </c>
      <c r="BA296">
        <v>231</v>
      </c>
      <c r="BB296" t="s">
        <v>706</v>
      </c>
      <c r="BC296" t="s">
        <v>706</v>
      </c>
      <c r="BD296" t="s">
        <v>94</v>
      </c>
      <c r="BF296" t="s">
        <v>449</v>
      </c>
      <c r="BG296">
        <v>1</v>
      </c>
      <c r="BL296">
        <v>24532490000034</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c r="CT296">
        <v>0</v>
      </c>
      <c r="DE296" t="s">
        <v>0</v>
      </c>
    </row>
    <row r="297" spans="1:109" hidden="1" x14ac:dyDescent="0.35">
      <c r="A297">
        <v>197545</v>
      </c>
      <c r="B297">
        <v>197545</v>
      </c>
      <c r="D297" t="s">
        <v>121</v>
      </c>
      <c r="E297" t="s">
        <v>120</v>
      </c>
      <c r="F297" t="s">
        <v>104</v>
      </c>
      <c r="G297" t="s">
        <v>97</v>
      </c>
      <c r="H297" t="s">
        <v>705</v>
      </c>
      <c r="J297">
        <v>356515756</v>
      </c>
      <c r="K297" t="s">
        <v>19</v>
      </c>
      <c r="L297" t="s">
        <v>704</v>
      </c>
      <c r="M297" t="s">
        <v>39</v>
      </c>
      <c r="P297" t="s">
        <v>5</v>
      </c>
      <c r="Q297" t="s">
        <v>4</v>
      </c>
      <c r="R297" t="s">
        <v>52</v>
      </c>
      <c r="S297" t="s">
        <v>2</v>
      </c>
      <c r="V297" t="s">
        <v>51</v>
      </c>
      <c r="AI297" t="s">
        <v>703</v>
      </c>
      <c r="AJ297" t="s">
        <v>702</v>
      </c>
      <c r="AK297" t="s">
        <v>701</v>
      </c>
      <c r="AL297">
        <v>4600077</v>
      </c>
      <c r="AM297" t="s">
        <v>114</v>
      </c>
      <c r="AN297" t="s">
        <v>113</v>
      </c>
      <c r="AO297" t="s">
        <v>700</v>
      </c>
      <c r="AP297" t="s">
        <v>19</v>
      </c>
      <c r="AQ297" t="s">
        <v>699</v>
      </c>
      <c r="AR297" s="1">
        <v>44097</v>
      </c>
      <c r="AX297">
        <v>11</v>
      </c>
      <c r="AY297">
        <v>639876</v>
      </c>
      <c r="AZ297">
        <v>5483621</v>
      </c>
      <c r="BA297">
        <v>457</v>
      </c>
      <c r="BB297" t="s">
        <v>680</v>
      </c>
      <c r="BC297" t="s">
        <v>680</v>
      </c>
      <c r="BD297" t="s">
        <v>94</v>
      </c>
      <c r="BF297" t="s">
        <v>449</v>
      </c>
      <c r="BG297">
        <v>1</v>
      </c>
      <c r="BM297">
        <v>0</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0</v>
      </c>
      <c r="CS297">
        <v>0</v>
      </c>
      <c r="CT297">
        <v>0</v>
      </c>
      <c r="DE297" t="s">
        <v>0</v>
      </c>
    </row>
    <row r="298" spans="1:109" hidden="1" x14ac:dyDescent="0.35">
      <c r="A298">
        <v>197551</v>
      </c>
      <c r="B298">
        <v>197551</v>
      </c>
      <c r="D298" t="s">
        <v>121</v>
      </c>
      <c r="E298" t="s">
        <v>99</v>
      </c>
      <c r="F298" t="s">
        <v>98</v>
      </c>
      <c r="G298" t="s">
        <v>97</v>
      </c>
      <c r="H298" t="s">
        <v>409</v>
      </c>
      <c r="J298">
        <v>356533849</v>
      </c>
      <c r="K298" t="s">
        <v>19</v>
      </c>
      <c r="L298" t="s">
        <v>412</v>
      </c>
      <c r="M298" t="s">
        <v>13</v>
      </c>
      <c r="P298" t="s">
        <v>5</v>
      </c>
      <c r="Q298" t="s">
        <v>4</v>
      </c>
      <c r="R298" t="s">
        <v>12</v>
      </c>
      <c r="S298" t="s">
        <v>2</v>
      </c>
      <c r="AI298" t="s">
        <v>698</v>
      </c>
      <c r="AJ298" t="s">
        <v>697</v>
      </c>
      <c r="AK298" t="s">
        <v>696</v>
      </c>
      <c r="AL298">
        <v>4605636</v>
      </c>
      <c r="AM298" t="s">
        <v>114</v>
      </c>
      <c r="AN298" t="s">
        <v>679</v>
      </c>
      <c r="AO298" t="s">
        <v>409</v>
      </c>
      <c r="AP298" t="s">
        <v>19</v>
      </c>
      <c r="AQ298" t="s">
        <v>695</v>
      </c>
      <c r="AR298" s="1">
        <v>44090</v>
      </c>
      <c r="AX298">
        <v>11</v>
      </c>
      <c r="AY298">
        <v>644172</v>
      </c>
      <c r="AZ298">
        <v>5564443</v>
      </c>
      <c r="BA298">
        <v>851</v>
      </c>
      <c r="BB298" t="s">
        <v>694</v>
      </c>
      <c r="BC298" t="s">
        <v>694</v>
      </c>
      <c r="BD298" t="s">
        <v>94</v>
      </c>
      <c r="BE298" t="s">
        <v>693</v>
      </c>
      <c r="BF298" t="s">
        <v>449</v>
      </c>
      <c r="BG298">
        <v>1</v>
      </c>
      <c r="BM298">
        <v>0</v>
      </c>
      <c r="BN298">
        <v>0</v>
      </c>
      <c r="BO298">
        <v>0</v>
      </c>
      <c r="BP298">
        <v>0</v>
      </c>
      <c r="BQ298">
        <v>0</v>
      </c>
      <c r="BR298">
        <v>0</v>
      </c>
      <c r="BS298">
        <v>0</v>
      </c>
      <c r="BT298">
        <v>0</v>
      </c>
      <c r="BU298">
        <v>0</v>
      </c>
      <c r="BV298">
        <v>0</v>
      </c>
      <c r="BW298">
        <v>0</v>
      </c>
      <c r="BX298">
        <v>0</v>
      </c>
      <c r="BY298">
        <v>0</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0</v>
      </c>
      <c r="CS298">
        <v>0</v>
      </c>
      <c r="CT298">
        <v>0</v>
      </c>
      <c r="DE298" t="s">
        <v>0</v>
      </c>
    </row>
    <row r="299" spans="1:109" hidden="1" x14ac:dyDescent="0.35">
      <c r="A299">
        <v>197554</v>
      </c>
      <c r="B299">
        <v>197554</v>
      </c>
      <c r="D299" t="s">
        <v>121</v>
      </c>
      <c r="E299" t="s">
        <v>99</v>
      </c>
      <c r="F299" t="s">
        <v>104</v>
      </c>
      <c r="G299" t="s">
        <v>97</v>
      </c>
      <c r="H299" t="s">
        <v>409</v>
      </c>
      <c r="J299">
        <v>356540453</v>
      </c>
      <c r="K299" t="s">
        <v>19</v>
      </c>
      <c r="L299" t="s">
        <v>412</v>
      </c>
      <c r="M299" t="s">
        <v>39</v>
      </c>
      <c r="P299" t="s">
        <v>5</v>
      </c>
      <c r="Q299" t="s">
        <v>4</v>
      </c>
      <c r="R299" t="s">
        <v>12</v>
      </c>
      <c r="S299" t="s">
        <v>2</v>
      </c>
      <c r="AI299" t="s">
        <v>692</v>
      </c>
      <c r="AK299" t="s">
        <v>691</v>
      </c>
      <c r="AL299">
        <v>4605649</v>
      </c>
      <c r="AM299" t="s">
        <v>114</v>
      </c>
      <c r="AN299" t="s">
        <v>113</v>
      </c>
      <c r="AO299" t="s">
        <v>409</v>
      </c>
      <c r="AP299" t="s">
        <v>19</v>
      </c>
      <c r="AQ299" t="s">
        <v>690</v>
      </c>
      <c r="AR299" s="1">
        <v>44090</v>
      </c>
      <c r="AX299">
        <v>11</v>
      </c>
      <c r="AY299">
        <v>645875</v>
      </c>
      <c r="AZ299">
        <v>5556755</v>
      </c>
      <c r="BA299">
        <v>2195</v>
      </c>
      <c r="BB299" t="s">
        <v>689</v>
      </c>
      <c r="BC299" t="s">
        <v>688</v>
      </c>
      <c r="BD299" t="s">
        <v>94</v>
      </c>
      <c r="BF299" t="s">
        <v>449</v>
      </c>
      <c r="BG299">
        <v>1</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0</v>
      </c>
      <c r="CF299">
        <v>0</v>
      </c>
      <c r="CG299">
        <v>0</v>
      </c>
      <c r="CH299">
        <v>0</v>
      </c>
      <c r="CI299">
        <v>0</v>
      </c>
      <c r="CJ299">
        <v>0</v>
      </c>
      <c r="CK299">
        <v>0</v>
      </c>
      <c r="CL299">
        <v>0.87404756780017601</v>
      </c>
      <c r="CM299">
        <v>0</v>
      </c>
      <c r="CN299">
        <v>0.87404756780017601</v>
      </c>
      <c r="CO299">
        <v>0</v>
      </c>
      <c r="CP299">
        <v>0</v>
      </c>
      <c r="CQ299">
        <v>0.87</v>
      </c>
      <c r="CR299">
        <v>0.87</v>
      </c>
      <c r="CS299">
        <v>0.87</v>
      </c>
      <c r="CT299">
        <v>0.87</v>
      </c>
      <c r="DE299" t="s">
        <v>0</v>
      </c>
    </row>
    <row r="300" spans="1:109" hidden="1" x14ac:dyDescent="0.35">
      <c r="A300">
        <v>197567</v>
      </c>
      <c r="B300">
        <v>197567</v>
      </c>
      <c r="D300" t="s">
        <v>121</v>
      </c>
      <c r="E300" t="s">
        <v>120</v>
      </c>
      <c r="F300" t="s">
        <v>104</v>
      </c>
      <c r="G300" t="s">
        <v>119</v>
      </c>
      <c r="H300" t="s">
        <v>162</v>
      </c>
      <c r="J300">
        <v>356515756</v>
      </c>
      <c r="K300" t="s">
        <v>19</v>
      </c>
      <c r="L300" t="s">
        <v>159</v>
      </c>
      <c r="M300" t="s">
        <v>39</v>
      </c>
      <c r="P300" t="s">
        <v>5</v>
      </c>
      <c r="Q300" t="s">
        <v>4</v>
      </c>
      <c r="R300" t="s">
        <v>52</v>
      </c>
      <c r="S300" t="s">
        <v>2</v>
      </c>
      <c r="V300" t="s">
        <v>51</v>
      </c>
      <c r="AI300" t="s">
        <v>687</v>
      </c>
      <c r="AK300" t="s">
        <v>686</v>
      </c>
      <c r="AL300">
        <v>4600130</v>
      </c>
      <c r="AM300" t="s">
        <v>114</v>
      </c>
      <c r="AN300" t="s">
        <v>113</v>
      </c>
      <c r="AO300" t="s">
        <v>159</v>
      </c>
      <c r="AP300" t="s">
        <v>19</v>
      </c>
      <c r="AQ300" t="s">
        <v>685</v>
      </c>
      <c r="AR300" s="1">
        <v>44097</v>
      </c>
      <c r="AX300">
        <v>11</v>
      </c>
      <c r="AY300">
        <v>640035</v>
      </c>
      <c r="AZ300">
        <v>5483662</v>
      </c>
      <c r="BA300">
        <v>628</v>
      </c>
      <c r="BB300" t="s">
        <v>680</v>
      </c>
      <c r="BC300" t="s">
        <v>680</v>
      </c>
      <c r="BD300" t="s">
        <v>94</v>
      </c>
      <c r="BF300" t="s">
        <v>449</v>
      </c>
      <c r="BG300">
        <v>1</v>
      </c>
      <c r="BM300">
        <v>0</v>
      </c>
      <c r="BN300">
        <v>0</v>
      </c>
      <c r="BO300">
        <v>0</v>
      </c>
      <c r="BP300">
        <v>0</v>
      </c>
      <c r="BQ300">
        <v>0</v>
      </c>
      <c r="BR300">
        <v>0</v>
      </c>
      <c r="BS300">
        <v>0</v>
      </c>
      <c r="BT300">
        <v>0</v>
      </c>
      <c r="BU300">
        <v>0</v>
      </c>
      <c r="BV300">
        <v>0</v>
      </c>
      <c r="BW300">
        <v>0</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CT300">
        <v>0</v>
      </c>
      <c r="DE300" t="s">
        <v>0</v>
      </c>
    </row>
    <row r="301" spans="1:109" hidden="1" x14ac:dyDescent="0.35">
      <c r="A301">
        <v>197568</v>
      </c>
      <c r="B301">
        <v>197568</v>
      </c>
      <c r="D301" t="s">
        <v>121</v>
      </c>
      <c r="E301" t="s">
        <v>180</v>
      </c>
      <c r="F301" t="s">
        <v>104</v>
      </c>
      <c r="G301" t="s">
        <v>97</v>
      </c>
      <c r="I301" t="s">
        <v>7</v>
      </c>
      <c r="J301">
        <v>356515756</v>
      </c>
      <c r="K301" t="s">
        <v>19</v>
      </c>
      <c r="L301" t="s">
        <v>176</v>
      </c>
      <c r="M301" t="s">
        <v>39</v>
      </c>
      <c r="P301" t="s">
        <v>5</v>
      </c>
      <c r="Q301" t="s">
        <v>4</v>
      </c>
      <c r="R301" t="s">
        <v>52</v>
      </c>
      <c r="S301" t="s">
        <v>2</v>
      </c>
      <c r="AI301" t="s">
        <v>684</v>
      </c>
      <c r="AK301" t="s">
        <v>683</v>
      </c>
      <c r="AL301">
        <v>4606807</v>
      </c>
      <c r="AM301" t="s">
        <v>114</v>
      </c>
      <c r="AN301" t="s">
        <v>682</v>
      </c>
      <c r="AO301" t="s">
        <v>176</v>
      </c>
      <c r="AP301" t="s">
        <v>19</v>
      </c>
      <c r="AQ301" t="s">
        <v>681</v>
      </c>
      <c r="AR301" s="1">
        <v>44097</v>
      </c>
      <c r="AX301">
        <v>11</v>
      </c>
      <c r="AY301">
        <v>639951</v>
      </c>
      <c r="AZ301">
        <v>5483640</v>
      </c>
      <c r="BA301">
        <v>538</v>
      </c>
      <c r="BB301" t="s">
        <v>680</v>
      </c>
      <c r="BC301" t="s">
        <v>680</v>
      </c>
      <c r="BD301" t="s">
        <v>94</v>
      </c>
      <c r="BF301" t="s">
        <v>449</v>
      </c>
      <c r="BG301">
        <v>1</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0</v>
      </c>
      <c r="CS301">
        <v>0</v>
      </c>
      <c r="CT301">
        <v>0</v>
      </c>
      <c r="DE301" t="s">
        <v>0</v>
      </c>
    </row>
    <row r="302" spans="1:109" hidden="1" x14ac:dyDescent="0.35">
      <c r="A302">
        <v>197582</v>
      </c>
      <c r="D302" t="s">
        <v>121</v>
      </c>
      <c r="E302" t="s">
        <v>120</v>
      </c>
      <c r="F302" t="s">
        <v>98</v>
      </c>
      <c r="G302" t="s">
        <v>97</v>
      </c>
      <c r="H302" t="s">
        <v>525</v>
      </c>
      <c r="J302">
        <v>356519898</v>
      </c>
      <c r="AL302">
        <v>4600157</v>
      </c>
      <c r="AM302" t="s">
        <v>114</v>
      </c>
      <c r="AN302" t="s">
        <v>679</v>
      </c>
      <c r="AO302" t="s">
        <v>676</v>
      </c>
      <c r="AP302" t="s">
        <v>199</v>
      </c>
      <c r="AQ302" t="s">
        <v>678</v>
      </c>
      <c r="AR302" s="1">
        <v>44098</v>
      </c>
      <c r="AX302">
        <v>11</v>
      </c>
      <c r="AY302">
        <v>643566</v>
      </c>
      <c r="AZ302">
        <v>5490324</v>
      </c>
      <c r="BA302">
        <v>557</v>
      </c>
      <c r="BB302" t="s">
        <v>200</v>
      </c>
      <c r="BC302" t="s">
        <v>200</v>
      </c>
      <c r="BD302" t="s">
        <v>94</v>
      </c>
      <c r="BE302" t="s">
        <v>199</v>
      </c>
      <c r="BF302" t="s">
        <v>449</v>
      </c>
      <c r="BG302">
        <v>1</v>
      </c>
      <c r="BH302" t="s">
        <v>677</v>
      </c>
      <c r="BI302">
        <v>3</v>
      </c>
      <c r="BM302">
        <v>0</v>
      </c>
      <c r="BN302">
        <v>0</v>
      </c>
      <c r="BO302">
        <v>0</v>
      </c>
      <c r="BP302">
        <v>0</v>
      </c>
      <c r="BQ302">
        <v>0</v>
      </c>
      <c r="BR302">
        <v>0</v>
      </c>
      <c r="BS302">
        <v>0</v>
      </c>
      <c r="BT302">
        <v>0</v>
      </c>
      <c r="BU302">
        <v>0</v>
      </c>
      <c r="BV302">
        <v>0</v>
      </c>
      <c r="BW302">
        <v>0</v>
      </c>
      <c r="BX302">
        <v>0</v>
      </c>
      <c r="BY302">
        <v>0</v>
      </c>
      <c r="BZ302">
        <v>0</v>
      </c>
      <c r="CA302">
        <v>0</v>
      </c>
      <c r="CB302">
        <v>0</v>
      </c>
      <c r="CC302">
        <v>0</v>
      </c>
      <c r="CD302">
        <v>0</v>
      </c>
      <c r="CE302">
        <v>0</v>
      </c>
      <c r="CF302">
        <v>0</v>
      </c>
      <c r="CG302">
        <v>0</v>
      </c>
      <c r="CH302">
        <v>0</v>
      </c>
      <c r="CI302">
        <v>0</v>
      </c>
      <c r="CJ302">
        <v>0</v>
      </c>
      <c r="CK302">
        <v>7.6210682123649898</v>
      </c>
      <c r="CL302">
        <v>8.2910007246291695</v>
      </c>
      <c r="CM302">
        <v>0.41</v>
      </c>
      <c r="CN302">
        <v>0.41</v>
      </c>
      <c r="CO302">
        <v>7.62</v>
      </c>
      <c r="CP302">
        <v>7.62</v>
      </c>
      <c r="CQ302">
        <v>8.2899999999999991</v>
      </c>
      <c r="CR302">
        <v>8.2899999999999991</v>
      </c>
      <c r="CS302">
        <v>8.2899999999999991</v>
      </c>
      <c r="CT302">
        <v>8.2899999999999991</v>
      </c>
      <c r="DE302" t="s">
        <v>0</v>
      </c>
    </row>
    <row r="303" spans="1:109" hidden="1" x14ac:dyDescent="0.35">
      <c r="A303">
        <v>197726</v>
      </c>
      <c r="B303">
        <v>197726</v>
      </c>
      <c r="D303" t="s">
        <v>121</v>
      </c>
      <c r="E303" t="s">
        <v>120</v>
      </c>
      <c r="F303" t="s">
        <v>104</v>
      </c>
      <c r="G303" t="s">
        <v>119</v>
      </c>
      <c r="H303" t="s">
        <v>525</v>
      </c>
      <c r="J303">
        <v>356559786</v>
      </c>
      <c r="K303" t="s">
        <v>19</v>
      </c>
      <c r="L303" t="s">
        <v>676</v>
      </c>
      <c r="M303" t="s">
        <v>39</v>
      </c>
      <c r="P303" t="s">
        <v>5</v>
      </c>
      <c r="Q303" t="s">
        <v>4</v>
      </c>
      <c r="R303" t="s">
        <v>52</v>
      </c>
      <c r="S303" t="s">
        <v>2</v>
      </c>
      <c r="V303" t="s">
        <v>51</v>
      </c>
      <c r="AI303" t="s">
        <v>675</v>
      </c>
      <c r="AK303" t="s">
        <v>674</v>
      </c>
      <c r="AL303">
        <v>4600005</v>
      </c>
      <c r="AM303" t="s">
        <v>114</v>
      </c>
      <c r="AN303" t="s">
        <v>113</v>
      </c>
      <c r="AO303" t="s">
        <v>525</v>
      </c>
      <c r="AP303" t="s">
        <v>673</v>
      </c>
      <c r="AQ303" t="s">
        <v>672</v>
      </c>
      <c r="AR303" s="1">
        <v>44120</v>
      </c>
      <c r="AX303">
        <v>11</v>
      </c>
      <c r="AY303">
        <v>638975</v>
      </c>
      <c r="AZ303">
        <v>5484436</v>
      </c>
      <c r="BA303">
        <v>154</v>
      </c>
      <c r="BB303" t="s">
        <v>671</v>
      </c>
      <c r="BC303" t="s">
        <v>671</v>
      </c>
      <c r="BD303" t="s">
        <v>94</v>
      </c>
      <c r="BF303" t="s">
        <v>449</v>
      </c>
      <c r="BG303">
        <v>1</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0</v>
      </c>
      <c r="CS303">
        <v>0</v>
      </c>
      <c r="CT303">
        <v>0</v>
      </c>
      <c r="DE303" t="s">
        <v>0</v>
      </c>
    </row>
    <row r="304" spans="1:109" hidden="1" x14ac:dyDescent="0.35">
      <c r="A304">
        <v>197821</v>
      </c>
      <c r="B304">
        <v>197821</v>
      </c>
      <c r="D304" t="s">
        <v>121</v>
      </c>
      <c r="E304" t="s">
        <v>99</v>
      </c>
      <c r="F304" t="s">
        <v>258</v>
      </c>
      <c r="G304" t="s">
        <v>97</v>
      </c>
      <c r="H304" t="s">
        <v>633</v>
      </c>
      <c r="J304">
        <v>356565258</v>
      </c>
      <c r="K304" t="s">
        <v>484</v>
      </c>
      <c r="L304" t="s">
        <v>633</v>
      </c>
      <c r="M304" t="s">
        <v>70</v>
      </c>
      <c r="P304" t="s">
        <v>5</v>
      </c>
      <c r="Q304" t="s">
        <v>4</v>
      </c>
      <c r="R304" t="s">
        <v>12</v>
      </c>
      <c r="S304" t="s">
        <v>2</v>
      </c>
      <c r="AI304" t="s">
        <v>68</v>
      </c>
      <c r="AJ304" t="s">
        <v>670</v>
      </c>
      <c r="AK304" t="s">
        <v>669</v>
      </c>
      <c r="AL304">
        <v>4606545</v>
      </c>
      <c r="AM304" t="s">
        <v>114</v>
      </c>
      <c r="AN304" t="s">
        <v>256</v>
      </c>
      <c r="AO304" t="s">
        <v>632</v>
      </c>
      <c r="AP304" t="s">
        <v>484</v>
      </c>
      <c r="AQ304" t="s">
        <v>668</v>
      </c>
      <c r="AR304" s="1">
        <v>44474</v>
      </c>
      <c r="AX304">
        <v>11</v>
      </c>
      <c r="AY304">
        <v>644862</v>
      </c>
      <c r="AZ304">
        <v>5520737</v>
      </c>
      <c r="BA304">
        <v>14288</v>
      </c>
      <c r="BB304" t="s">
        <v>485</v>
      </c>
      <c r="BC304" t="s">
        <v>667</v>
      </c>
      <c r="BD304" t="s">
        <v>94</v>
      </c>
      <c r="BE304" t="s">
        <v>484</v>
      </c>
      <c r="BF304" t="s">
        <v>449</v>
      </c>
      <c r="BG304">
        <v>1</v>
      </c>
      <c r="BH304" t="s">
        <v>666</v>
      </c>
      <c r="BI304">
        <v>2</v>
      </c>
      <c r="BM304">
        <v>0</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4.9734630915270799</v>
      </c>
      <c r="CL304">
        <v>6.3329995834461101</v>
      </c>
      <c r="CM304">
        <v>3.95</v>
      </c>
      <c r="CN304">
        <v>4.1900000000000004</v>
      </c>
      <c r="CO304">
        <v>4.97</v>
      </c>
      <c r="CP304">
        <v>4.97</v>
      </c>
      <c r="CQ304">
        <v>6.33</v>
      </c>
      <c r="CR304">
        <v>6.33</v>
      </c>
      <c r="CS304">
        <v>6.33</v>
      </c>
      <c r="CT304">
        <v>6.33</v>
      </c>
      <c r="DE304" t="s">
        <v>0</v>
      </c>
    </row>
    <row r="305" spans="1:109" hidden="1" x14ac:dyDescent="0.35">
      <c r="A305">
        <v>197829</v>
      </c>
      <c r="B305">
        <v>197829</v>
      </c>
      <c r="D305" t="s">
        <v>121</v>
      </c>
      <c r="E305" t="s">
        <v>99</v>
      </c>
      <c r="F305" t="s">
        <v>104</v>
      </c>
      <c r="G305" t="s">
        <v>119</v>
      </c>
      <c r="H305" t="s">
        <v>409</v>
      </c>
      <c r="J305">
        <v>356514809</v>
      </c>
      <c r="K305" t="s">
        <v>19</v>
      </c>
      <c r="L305" t="s">
        <v>412</v>
      </c>
      <c r="M305" t="s">
        <v>39</v>
      </c>
      <c r="P305" t="s">
        <v>5</v>
      </c>
      <c r="Q305" t="s">
        <v>4</v>
      </c>
      <c r="R305" t="s">
        <v>52</v>
      </c>
      <c r="S305" t="s">
        <v>2</v>
      </c>
      <c r="V305" t="s">
        <v>51</v>
      </c>
      <c r="AI305" t="s">
        <v>626</v>
      </c>
      <c r="AL305">
        <v>4605698</v>
      </c>
      <c r="AM305" t="s">
        <v>114</v>
      </c>
      <c r="AN305" t="s">
        <v>113</v>
      </c>
      <c r="AO305" t="s">
        <v>660</v>
      </c>
      <c r="AP305" t="s">
        <v>19</v>
      </c>
      <c r="AQ305" t="s">
        <v>665</v>
      </c>
      <c r="AR305" s="1">
        <v>44483</v>
      </c>
      <c r="AX305">
        <v>11</v>
      </c>
      <c r="AY305">
        <v>646781</v>
      </c>
      <c r="AZ305">
        <v>5572308</v>
      </c>
      <c r="BA305">
        <v>1096</v>
      </c>
      <c r="BB305" t="s">
        <v>664</v>
      </c>
      <c r="BC305" t="s">
        <v>663</v>
      </c>
      <c r="BD305" t="s">
        <v>94</v>
      </c>
      <c r="BF305" t="s">
        <v>449</v>
      </c>
      <c r="BG305">
        <v>1</v>
      </c>
      <c r="BM305">
        <v>0</v>
      </c>
      <c r="BN305">
        <v>0</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c r="CR305">
        <v>0</v>
      </c>
      <c r="CS305">
        <v>0</v>
      </c>
      <c r="CT305">
        <v>0</v>
      </c>
      <c r="DE305" t="s">
        <v>0</v>
      </c>
    </row>
    <row r="306" spans="1:109" hidden="1" x14ac:dyDescent="0.35">
      <c r="A306">
        <v>197830</v>
      </c>
      <c r="B306">
        <v>197830</v>
      </c>
      <c r="D306" t="s">
        <v>121</v>
      </c>
      <c r="E306" t="s">
        <v>99</v>
      </c>
      <c r="F306" t="s">
        <v>104</v>
      </c>
      <c r="G306" t="s">
        <v>119</v>
      </c>
      <c r="H306" t="s">
        <v>409</v>
      </c>
      <c r="J306">
        <v>356471333</v>
      </c>
      <c r="K306" t="s">
        <v>19</v>
      </c>
      <c r="L306" t="s">
        <v>412</v>
      </c>
      <c r="M306" t="s">
        <v>39</v>
      </c>
      <c r="P306" t="s">
        <v>38</v>
      </c>
      <c r="Q306" t="s">
        <v>4</v>
      </c>
      <c r="V306" t="s">
        <v>36</v>
      </c>
      <c r="AE306" t="s">
        <v>35</v>
      </c>
      <c r="AI306" t="s">
        <v>662</v>
      </c>
      <c r="AK306" t="s">
        <v>661</v>
      </c>
      <c r="AL306">
        <v>4605731</v>
      </c>
      <c r="AM306" t="s">
        <v>114</v>
      </c>
      <c r="AN306" t="s">
        <v>113</v>
      </c>
      <c r="AO306" t="s">
        <v>660</v>
      </c>
      <c r="AP306" t="s">
        <v>19</v>
      </c>
      <c r="AQ306" t="s">
        <v>659</v>
      </c>
      <c r="AR306" s="1">
        <v>44483</v>
      </c>
      <c r="AX306">
        <v>11</v>
      </c>
      <c r="AY306">
        <v>646749</v>
      </c>
      <c r="AZ306">
        <v>5571001</v>
      </c>
      <c r="BA306">
        <v>131</v>
      </c>
      <c r="BB306" t="s">
        <v>658</v>
      </c>
      <c r="BC306" t="s">
        <v>658</v>
      </c>
      <c r="BD306" t="s">
        <v>94</v>
      </c>
      <c r="BF306" t="s">
        <v>449</v>
      </c>
      <c r="BG306">
        <v>1</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DE306" t="s">
        <v>0</v>
      </c>
    </row>
    <row r="307" spans="1:109" hidden="1" x14ac:dyDescent="0.35">
      <c r="A307">
        <v>197831</v>
      </c>
      <c r="D307" t="s">
        <v>121</v>
      </c>
      <c r="E307" t="s">
        <v>120</v>
      </c>
      <c r="F307" t="s">
        <v>258</v>
      </c>
      <c r="G307" t="s">
        <v>97</v>
      </c>
      <c r="H307" t="s">
        <v>657</v>
      </c>
      <c r="J307">
        <v>356569015</v>
      </c>
      <c r="AM307" t="s">
        <v>114</v>
      </c>
      <c r="AN307" t="s">
        <v>256</v>
      </c>
      <c r="AO307" t="s">
        <v>26</v>
      </c>
      <c r="AP307" t="s">
        <v>143</v>
      </c>
      <c r="AQ307" t="s">
        <v>656</v>
      </c>
      <c r="AR307" s="1">
        <v>44484</v>
      </c>
      <c r="AX307">
        <v>11</v>
      </c>
      <c r="AY307">
        <v>646924</v>
      </c>
      <c r="AZ307">
        <v>5494708</v>
      </c>
      <c r="BA307">
        <v>178</v>
      </c>
      <c r="BB307" t="s">
        <v>145</v>
      </c>
      <c r="BC307" t="s">
        <v>145</v>
      </c>
      <c r="BD307" t="s">
        <v>94</v>
      </c>
      <c r="BE307" t="s">
        <v>143</v>
      </c>
      <c r="BF307" t="s">
        <v>449</v>
      </c>
      <c r="BG307">
        <v>1</v>
      </c>
      <c r="BH307" t="s">
        <v>655</v>
      </c>
      <c r="BI307">
        <v>8</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1.5899910337435901</v>
      </c>
      <c r="CL307">
        <v>6.5332668415691701</v>
      </c>
      <c r="CM307">
        <v>1.59</v>
      </c>
      <c r="CN307">
        <v>4.67</v>
      </c>
      <c r="CO307">
        <v>1.59</v>
      </c>
      <c r="CP307">
        <v>1.59</v>
      </c>
      <c r="CQ307">
        <v>6.53</v>
      </c>
      <c r="CR307">
        <v>6.53</v>
      </c>
      <c r="CS307">
        <v>6.53</v>
      </c>
      <c r="CT307">
        <v>6.53</v>
      </c>
      <c r="DE307" t="s">
        <v>0</v>
      </c>
    </row>
    <row r="308" spans="1:109" hidden="1" x14ac:dyDescent="0.35">
      <c r="A308">
        <v>197832</v>
      </c>
      <c r="D308" t="s">
        <v>121</v>
      </c>
      <c r="E308" t="s">
        <v>120</v>
      </c>
      <c r="F308" t="s">
        <v>104</v>
      </c>
      <c r="G308" t="s">
        <v>97</v>
      </c>
      <c r="H308" t="s">
        <v>654</v>
      </c>
      <c r="J308">
        <v>356550268</v>
      </c>
      <c r="AL308">
        <v>4600087</v>
      </c>
      <c r="AM308" t="s">
        <v>114</v>
      </c>
      <c r="AN308" t="s">
        <v>113</v>
      </c>
      <c r="AO308" t="s">
        <v>653</v>
      </c>
      <c r="AP308" t="s">
        <v>652</v>
      </c>
      <c r="AQ308" t="s">
        <v>651</v>
      </c>
      <c r="AR308" s="1">
        <v>44484</v>
      </c>
      <c r="AX308">
        <v>11</v>
      </c>
      <c r="AY308">
        <v>647133</v>
      </c>
      <c r="AZ308">
        <v>5495082</v>
      </c>
      <c r="BA308">
        <v>206</v>
      </c>
      <c r="BB308" t="s">
        <v>144</v>
      </c>
      <c r="BC308" t="s">
        <v>144</v>
      </c>
      <c r="BD308" t="s">
        <v>94</v>
      </c>
      <c r="BF308" t="s">
        <v>449</v>
      </c>
      <c r="BG308">
        <v>1</v>
      </c>
      <c r="BH308" t="s">
        <v>650</v>
      </c>
      <c r="BI308">
        <v>7</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c r="CH308">
        <v>0</v>
      </c>
      <c r="CI308">
        <v>0</v>
      </c>
      <c r="CJ308">
        <v>0</v>
      </c>
      <c r="CK308">
        <v>1.1530740178371699</v>
      </c>
      <c r="CL308">
        <v>5.6532667405674699</v>
      </c>
      <c r="CM308">
        <v>1.1499999999999999</v>
      </c>
      <c r="CN308">
        <v>4.13</v>
      </c>
      <c r="CO308">
        <v>1.1499999999999999</v>
      </c>
      <c r="CP308">
        <v>1.1499999999999999</v>
      </c>
      <c r="CQ308">
        <v>5.65</v>
      </c>
      <c r="CR308">
        <v>5.65</v>
      </c>
      <c r="CS308">
        <v>5.65</v>
      </c>
      <c r="CT308">
        <v>5.65</v>
      </c>
      <c r="DE308" t="s">
        <v>0</v>
      </c>
    </row>
    <row r="309" spans="1:109" hidden="1" x14ac:dyDescent="0.35">
      <c r="A309">
        <v>197837</v>
      </c>
      <c r="B309">
        <v>197837</v>
      </c>
      <c r="D309" t="s">
        <v>121</v>
      </c>
      <c r="E309" t="s">
        <v>99</v>
      </c>
      <c r="F309" t="s">
        <v>258</v>
      </c>
      <c r="G309" t="s">
        <v>97</v>
      </c>
      <c r="J309">
        <v>356562350</v>
      </c>
      <c r="K309" t="s">
        <v>56</v>
      </c>
      <c r="L309" t="s">
        <v>273</v>
      </c>
      <c r="M309" t="s">
        <v>70</v>
      </c>
      <c r="P309" t="s">
        <v>5</v>
      </c>
      <c r="Q309" t="s">
        <v>4</v>
      </c>
      <c r="R309" t="s">
        <v>12</v>
      </c>
      <c r="S309" t="s">
        <v>2</v>
      </c>
      <c r="AI309" t="s">
        <v>68</v>
      </c>
      <c r="AK309" t="s">
        <v>649</v>
      </c>
      <c r="AL309">
        <v>4602163</v>
      </c>
      <c r="AM309" t="s">
        <v>114</v>
      </c>
      <c r="AN309" t="s">
        <v>256</v>
      </c>
      <c r="AO309" t="s">
        <v>273</v>
      </c>
      <c r="AP309" t="s">
        <v>648</v>
      </c>
      <c r="AQ309" t="s">
        <v>647</v>
      </c>
      <c r="AR309" s="1">
        <v>44466</v>
      </c>
      <c r="AX309">
        <v>11</v>
      </c>
      <c r="AY309">
        <v>651609</v>
      </c>
      <c r="AZ309">
        <v>5475660</v>
      </c>
      <c r="BA309">
        <v>12208</v>
      </c>
      <c r="BB309" t="s">
        <v>555</v>
      </c>
      <c r="BC309" t="s">
        <v>646</v>
      </c>
      <c r="BD309" t="s">
        <v>94</v>
      </c>
      <c r="BE309" t="s">
        <v>56</v>
      </c>
      <c r="BF309" t="s">
        <v>449</v>
      </c>
      <c r="BG309">
        <v>1</v>
      </c>
      <c r="BL309">
        <v>24747400010858</v>
      </c>
      <c r="BM309">
        <v>0</v>
      </c>
      <c r="BN309">
        <v>0</v>
      </c>
      <c r="BO309">
        <v>0</v>
      </c>
      <c r="BP309">
        <v>0</v>
      </c>
      <c r="BQ309">
        <v>0</v>
      </c>
      <c r="BR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1.4884422875944201</v>
      </c>
      <c r="CL309">
        <v>1.4884422875944201</v>
      </c>
      <c r="CM309">
        <v>1.49</v>
      </c>
      <c r="CN309">
        <v>1.49</v>
      </c>
      <c r="CO309">
        <v>1.49</v>
      </c>
      <c r="CP309">
        <v>1.49</v>
      </c>
      <c r="CQ309">
        <v>1.49</v>
      </c>
      <c r="CR309">
        <v>1.49</v>
      </c>
      <c r="CS309">
        <v>1.49</v>
      </c>
      <c r="CT309">
        <v>1.49</v>
      </c>
      <c r="DE309" t="s">
        <v>0</v>
      </c>
    </row>
    <row r="310" spans="1:109" hidden="1" x14ac:dyDescent="0.35">
      <c r="A310">
        <v>197839</v>
      </c>
      <c r="B310">
        <v>197839</v>
      </c>
      <c r="D310" t="s">
        <v>121</v>
      </c>
      <c r="E310" t="s">
        <v>99</v>
      </c>
      <c r="F310" t="s">
        <v>258</v>
      </c>
      <c r="G310" t="s">
        <v>97</v>
      </c>
      <c r="J310">
        <v>356564642</v>
      </c>
      <c r="K310" t="s">
        <v>575</v>
      </c>
      <c r="L310" t="s">
        <v>273</v>
      </c>
      <c r="M310" t="s">
        <v>70</v>
      </c>
      <c r="P310" t="s">
        <v>5</v>
      </c>
      <c r="Q310" t="s">
        <v>4</v>
      </c>
      <c r="R310" t="s">
        <v>12</v>
      </c>
      <c r="S310" t="s">
        <v>2</v>
      </c>
      <c r="AI310" t="s">
        <v>68</v>
      </c>
      <c r="AJ310" t="s">
        <v>645</v>
      </c>
      <c r="AK310" t="s">
        <v>644</v>
      </c>
      <c r="AM310" t="s">
        <v>114</v>
      </c>
      <c r="AN310" t="s">
        <v>256</v>
      </c>
      <c r="AO310" t="s">
        <v>273</v>
      </c>
      <c r="AP310" t="s">
        <v>575</v>
      </c>
      <c r="AQ310" t="s">
        <v>643</v>
      </c>
      <c r="AR310" s="1">
        <v>44466</v>
      </c>
      <c r="AX310">
        <v>11</v>
      </c>
      <c r="AY310">
        <v>648168</v>
      </c>
      <c r="AZ310">
        <v>5499879</v>
      </c>
      <c r="BA310">
        <v>836</v>
      </c>
      <c r="BB310" t="s">
        <v>577</v>
      </c>
      <c r="BC310" t="s">
        <v>577</v>
      </c>
      <c r="BD310" t="s">
        <v>94</v>
      </c>
      <c r="BE310" t="s">
        <v>575</v>
      </c>
      <c r="BF310" t="s">
        <v>449</v>
      </c>
      <c r="BG310">
        <v>1</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0</v>
      </c>
      <c r="CH310">
        <v>0</v>
      </c>
      <c r="CI310">
        <v>0</v>
      </c>
      <c r="CJ310">
        <v>0</v>
      </c>
      <c r="CK310">
        <v>2.34103884319723</v>
      </c>
      <c r="CL310">
        <v>2.8300331487625199</v>
      </c>
      <c r="CM310">
        <v>2.34</v>
      </c>
      <c r="CN310">
        <v>2.83</v>
      </c>
      <c r="CO310">
        <v>2.34</v>
      </c>
      <c r="CP310">
        <v>2.34</v>
      </c>
      <c r="CQ310">
        <v>2.83</v>
      </c>
      <c r="CR310">
        <v>2.83</v>
      </c>
      <c r="CS310">
        <v>2.83</v>
      </c>
      <c r="CT310">
        <v>2.83</v>
      </c>
      <c r="DE310" t="s">
        <v>0</v>
      </c>
    </row>
    <row r="311" spans="1:109" hidden="1" x14ac:dyDescent="0.35">
      <c r="A311">
        <v>197846</v>
      </c>
      <c r="B311">
        <v>197846</v>
      </c>
      <c r="D311" t="s">
        <v>121</v>
      </c>
      <c r="E311" t="s">
        <v>99</v>
      </c>
      <c r="F311" t="s">
        <v>258</v>
      </c>
      <c r="G311" t="s">
        <v>97</v>
      </c>
      <c r="J311">
        <v>356539063</v>
      </c>
      <c r="K311" t="s">
        <v>642</v>
      </c>
      <c r="L311" t="s">
        <v>641</v>
      </c>
      <c r="M311" t="s">
        <v>70</v>
      </c>
      <c r="P311" t="s">
        <v>5</v>
      </c>
      <c r="Q311" t="s">
        <v>4</v>
      </c>
      <c r="R311" t="s">
        <v>12</v>
      </c>
      <c r="S311" t="s">
        <v>2</v>
      </c>
      <c r="AI311" t="s">
        <v>68</v>
      </c>
      <c r="AJ311" t="s">
        <v>348</v>
      </c>
      <c r="AK311" t="s">
        <v>640</v>
      </c>
      <c r="AM311" t="s">
        <v>114</v>
      </c>
      <c r="AN311" t="s">
        <v>256</v>
      </c>
      <c r="AO311" t="s">
        <v>273</v>
      </c>
      <c r="AP311" t="s">
        <v>639</v>
      </c>
      <c r="AQ311" t="s">
        <v>638</v>
      </c>
      <c r="AR311" s="1">
        <v>44468</v>
      </c>
      <c r="AX311">
        <v>11</v>
      </c>
      <c r="AY311">
        <v>659284</v>
      </c>
      <c r="AZ311">
        <v>5547543</v>
      </c>
      <c r="BA311">
        <v>630</v>
      </c>
      <c r="BB311" t="s">
        <v>637</v>
      </c>
      <c r="BC311" t="s">
        <v>637</v>
      </c>
      <c r="BD311" t="s">
        <v>94</v>
      </c>
      <c r="BF311" t="s">
        <v>449</v>
      </c>
      <c r="BG311">
        <v>1</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1.2008230814243299</v>
      </c>
      <c r="CL311">
        <v>4.5379643419465898</v>
      </c>
      <c r="CM311">
        <v>1.2</v>
      </c>
      <c r="CN311">
        <v>4.54</v>
      </c>
      <c r="CO311">
        <v>1.2</v>
      </c>
      <c r="CP311">
        <v>1.2</v>
      </c>
      <c r="CQ311">
        <v>4.54</v>
      </c>
      <c r="CR311">
        <v>4.54</v>
      </c>
      <c r="CS311">
        <v>4.54</v>
      </c>
      <c r="CT311">
        <v>4.54</v>
      </c>
      <c r="DE311" t="s">
        <v>0</v>
      </c>
    </row>
    <row r="312" spans="1:109" hidden="1" x14ac:dyDescent="0.35">
      <c r="A312">
        <v>197847</v>
      </c>
      <c r="B312">
        <v>197847</v>
      </c>
      <c r="D312" t="s">
        <v>121</v>
      </c>
      <c r="E312" t="s">
        <v>99</v>
      </c>
      <c r="F312" t="s">
        <v>258</v>
      </c>
      <c r="G312" t="s">
        <v>97</v>
      </c>
      <c r="J312">
        <v>356559840</v>
      </c>
      <c r="K312" t="s">
        <v>468</v>
      </c>
      <c r="L312" t="s">
        <v>26</v>
      </c>
      <c r="M312" t="s">
        <v>70</v>
      </c>
      <c r="P312" t="s">
        <v>5</v>
      </c>
      <c r="Q312" t="s">
        <v>4</v>
      </c>
      <c r="R312" t="s">
        <v>12</v>
      </c>
      <c r="S312" t="s">
        <v>2</v>
      </c>
      <c r="AI312" t="s">
        <v>3</v>
      </c>
      <c r="AK312" t="s">
        <v>636</v>
      </c>
      <c r="AL312">
        <v>4600533</v>
      </c>
      <c r="AM312" t="s">
        <v>114</v>
      </c>
      <c r="AN312" t="s">
        <v>256</v>
      </c>
      <c r="AO312" t="s">
        <v>273</v>
      </c>
      <c r="AP312" t="s">
        <v>468</v>
      </c>
      <c r="AQ312" t="s">
        <v>635</v>
      </c>
      <c r="AR312" s="1">
        <v>44468</v>
      </c>
      <c r="AX312">
        <v>11</v>
      </c>
      <c r="AY312">
        <v>656890</v>
      </c>
      <c r="AZ312">
        <v>5554159</v>
      </c>
      <c r="BA312">
        <v>2533</v>
      </c>
      <c r="BB312" t="s">
        <v>469</v>
      </c>
      <c r="BC312" t="s">
        <v>634</v>
      </c>
      <c r="BD312" t="s">
        <v>94</v>
      </c>
      <c r="BE312" t="s">
        <v>468</v>
      </c>
      <c r="BF312" t="s">
        <v>449</v>
      </c>
      <c r="BG312">
        <v>1</v>
      </c>
      <c r="BM312">
        <v>0</v>
      </c>
      <c r="BN312">
        <v>0</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2.93010781577108</v>
      </c>
      <c r="CL312">
        <v>3.20463622312429</v>
      </c>
      <c r="CM312">
        <v>2.93</v>
      </c>
      <c r="CN312">
        <v>3.2</v>
      </c>
      <c r="CO312">
        <v>2.93</v>
      </c>
      <c r="CP312">
        <v>2.93</v>
      </c>
      <c r="CQ312">
        <v>3.2</v>
      </c>
      <c r="CR312">
        <v>3.2</v>
      </c>
      <c r="CS312">
        <v>3.2</v>
      </c>
      <c r="CT312">
        <v>3.2</v>
      </c>
      <c r="DE312" t="s">
        <v>0</v>
      </c>
    </row>
    <row r="313" spans="1:109" hidden="1" x14ac:dyDescent="0.35">
      <c r="A313">
        <v>197848</v>
      </c>
      <c r="D313" t="s">
        <v>121</v>
      </c>
      <c r="E313" t="s">
        <v>99</v>
      </c>
      <c r="F313" t="s">
        <v>98</v>
      </c>
      <c r="G313" t="s">
        <v>97</v>
      </c>
      <c r="H313" t="s">
        <v>633</v>
      </c>
      <c r="J313">
        <v>356565258</v>
      </c>
      <c r="AM313" t="s">
        <v>114</v>
      </c>
      <c r="AN313" t="s">
        <v>202</v>
      </c>
      <c r="AO313" t="s">
        <v>632</v>
      </c>
      <c r="AP313" t="s">
        <v>484</v>
      </c>
      <c r="AQ313" t="s">
        <v>631</v>
      </c>
      <c r="AR313" s="1">
        <v>44468</v>
      </c>
      <c r="AX313">
        <v>11</v>
      </c>
      <c r="AY313">
        <v>649350</v>
      </c>
      <c r="AZ313">
        <v>5515280</v>
      </c>
      <c r="BA313">
        <v>5062</v>
      </c>
      <c r="BB313" t="s">
        <v>485</v>
      </c>
      <c r="BC313" t="s">
        <v>630</v>
      </c>
      <c r="BD313" t="s">
        <v>94</v>
      </c>
      <c r="BE313" t="s">
        <v>484</v>
      </c>
      <c r="BF313" t="s">
        <v>449</v>
      </c>
      <c r="BG313">
        <v>1</v>
      </c>
      <c r="BH313" t="s">
        <v>483</v>
      </c>
      <c r="BI313">
        <v>3</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17.982717448932799</v>
      </c>
      <c r="CL313">
        <v>24.910989868661002</v>
      </c>
      <c r="CM313">
        <v>13.41</v>
      </c>
      <c r="CN313">
        <v>13.76</v>
      </c>
      <c r="CO313">
        <v>17.98</v>
      </c>
      <c r="CP313">
        <v>17.98</v>
      </c>
      <c r="CQ313">
        <v>24.91</v>
      </c>
      <c r="CR313">
        <v>24.91</v>
      </c>
      <c r="CS313">
        <v>24.91</v>
      </c>
      <c r="CT313">
        <v>24.91</v>
      </c>
      <c r="DE313" t="s">
        <v>0</v>
      </c>
    </row>
    <row r="314" spans="1:109" hidden="1" x14ac:dyDescent="0.35">
      <c r="A314">
        <v>197864</v>
      </c>
      <c r="B314">
        <v>197864</v>
      </c>
      <c r="D314" t="s">
        <v>121</v>
      </c>
      <c r="E314" t="s">
        <v>99</v>
      </c>
      <c r="F314" t="s">
        <v>104</v>
      </c>
      <c r="G314" t="s">
        <v>119</v>
      </c>
      <c r="J314">
        <v>356491611</v>
      </c>
      <c r="K314" t="s">
        <v>15</v>
      </c>
      <c r="L314" t="s">
        <v>26</v>
      </c>
      <c r="M314" t="s">
        <v>39</v>
      </c>
      <c r="P314" t="s">
        <v>5</v>
      </c>
      <c r="Q314" t="s">
        <v>4</v>
      </c>
      <c r="R314" t="s">
        <v>52</v>
      </c>
      <c r="S314" t="s">
        <v>2</v>
      </c>
      <c r="V314" t="s">
        <v>51</v>
      </c>
      <c r="AI314" t="s">
        <v>629</v>
      </c>
      <c r="AK314" t="s">
        <v>628</v>
      </c>
      <c r="AL314">
        <v>4600761</v>
      </c>
      <c r="AM314" t="s">
        <v>114</v>
      </c>
      <c r="AN314" t="s">
        <v>113</v>
      </c>
      <c r="AO314" t="s">
        <v>26</v>
      </c>
      <c r="AP314" t="s">
        <v>15</v>
      </c>
      <c r="AQ314" t="s">
        <v>627</v>
      </c>
      <c r="AR314" s="1">
        <v>44482</v>
      </c>
      <c r="AX314">
        <v>11</v>
      </c>
      <c r="AY314">
        <v>636913</v>
      </c>
      <c r="AZ314">
        <v>5484249</v>
      </c>
      <c r="BA314">
        <v>574</v>
      </c>
      <c r="BB314" t="s">
        <v>335</v>
      </c>
      <c r="BC314" t="s">
        <v>335</v>
      </c>
      <c r="BD314" t="s">
        <v>94</v>
      </c>
      <c r="BF314" t="s">
        <v>449</v>
      </c>
      <c r="BG314">
        <v>1</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v>0</v>
      </c>
      <c r="DE314" t="s">
        <v>0</v>
      </c>
    </row>
    <row r="315" spans="1:109" hidden="1" x14ac:dyDescent="0.35">
      <c r="A315">
        <v>197865</v>
      </c>
      <c r="B315">
        <v>197865</v>
      </c>
      <c r="D315" t="s">
        <v>121</v>
      </c>
      <c r="E315" t="s">
        <v>99</v>
      </c>
      <c r="F315" t="s">
        <v>104</v>
      </c>
      <c r="G315" t="s">
        <v>119</v>
      </c>
      <c r="H315" t="s">
        <v>409</v>
      </c>
      <c r="J315">
        <v>356566208</v>
      </c>
      <c r="K315" t="s">
        <v>19</v>
      </c>
      <c r="L315" t="s">
        <v>412</v>
      </c>
      <c r="M315" t="s">
        <v>39</v>
      </c>
      <c r="P315" t="s">
        <v>5</v>
      </c>
      <c r="Q315" t="s">
        <v>4</v>
      </c>
      <c r="R315" t="s">
        <v>52</v>
      </c>
      <c r="S315" t="s">
        <v>2</v>
      </c>
      <c r="V315" t="s">
        <v>51</v>
      </c>
      <c r="AI315" t="s">
        <v>626</v>
      </c>
      <c r="AJ315" t="s">
        <v>625</v>
      </c>
      <c r="AK315" t="s">
        <v>624</v>
      </c>
      <c r="AL315">
        <v>4605652</v>
      </c>
      <c r="AM315" t="s">
        <v>114</v>
      </c>
      <c r="AN315" t="s">
        <v>113</v>
      </c>
      <c r="AO315" t="s">
        <v>412</v>
      </c>
      <c r="AP315" t="s">
        <v>19</v>
      </c>
      <c r="AQ315" t="s">
        <v>623</v>
      </c>
      <c r="AR315" s="1">
        <v>44483</v>
      </c>
      <c r="AX315">
        <v>11</v>
      </c>
      <c r="AY315">
        <v>647282</v>
      </c>
      <c r="AZ315">
        <v>5574968</v>
      </c>
      <c r="BA315">
        <v>956</v>
      </c>
      <c r="BB315" t="s">
        <v>622</v>
      </c>
      <c r="BC315" t="s">
        <v>621</v>
      </c>
      <c r="BD315" t="s">
        <v>94</v>
      </c>
      <c r="BF315" t="s">
        <v>449</v>
      </c>
      <c r="BG315">
        <v>1</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DE315" t="s">
        <v>0</v>
      </c>
    </row>
    <row r="316" spans="1:109" hidden="1" x14ac:dyDescent="0.35">
      <c r="A316">
        <v>199905</v>
      </c>
      <c r="B316">
        <v>199905</v>
      </c>
      <c r="D316" t="s">
        <v>121</v>
      </c>
      <c r="E316" t="s">
        <v>99</v>
      </c>
      <c r="F316" t="s">
        <v>98</v>
      </c>
      <c r="G316" t="s">
        <v>97</v>
      </c>
      <c r="J316">
        <v>356557060</v>
      </c>
      <c r="K316" t="s">
        <v>19</v>
      </c>
      <c r="L316" t="s">
        <v>618</v>
      </c>
      <c r="M316" t="s">
        <v>13</v>
      </c>
      <c r="P316" t="s">
        <v>5</v>
      </c>
      <c r="Q316" t="s">
        <v>4</v>
      </c>
      <c r="R316" t="s">
        <v>12</v>
      </c>
      <c r="S316" t="s">
        <v>2</v>
      </c>
      <c r="AI316" t="s">
        <v>206</v>
      </c>
      <c r="AJ316" t="s">
        <v>620</v>
      </c>
      <c r="AK316" t="s">
        <v>619</v>
      </c>
      <c r="AL316">
        <v>4601582</v>
      </c>
      <c r="AM316" t="s">
        <v>114</v>
      </c>
      <c r="AN316" t="s">
        <v>202</v>
      </c>
      <c r="AO316" t="s">
        <v>618</v>
      </c>
      <c r="AP316" t="s">
        <v>606</v>
      </c>
      <c r="AQ316" t="s">
        <v>617</v>
      </c>
      <c r="AR316" s="1">
        <v>45516</v>
      </c>
      <c r="AX316">
        <v>11</v>
      </c>
      <c r="AY316">
        <v>641508</v>
      </c>
      <c r="AZ316">
        <v>5477910</v>
      </c>
      <c r="BA316">
        <v>512</v>
      </c>
      <c r="BB316" t="s">
        <v>573</v>
      </c>
      <c r="BC316" t="s">
        <v>572</v>
      </c>
      <c r="BD316" t="s">
        <v>94</v>
      </c>
      <c r="BF316" t="s">
        <v>449</v>
      </c>
      <c r="BG316">
        <v>1</v>
      </c>
      <c r="BH316" t="s">
        <v>571</v>
      </c>
      <c r="BI316">
        <v>2</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4.3848000278900401E-2</v>
      </c>
      <c r="CL316">
        <v>1.64899980695975</v>
      </c>
      <c r="CM316">
        <v>0.04</v>
      </c>
      <c r="CN316">
        <v>1.59</v>
      </c>
      <c r="CO316">
        <v>0.04</v>
      </c>
      <c r="CP316">
        <v>0.04</v>
      </c>
      <c r="CQ316">
        <v>1.65</v>
      </c>
      <c r="CR316">
        <v>1.65</v>
      </c>
      <c r="CS316">
        <v>1.65</v>
      </c>
      <c r="CT316">
        <v>1.65</v>
      </c>
      <c r="DE316" t="s">
        <v>0</v>
      </c>
    </row>
    <row r="317" spans="1:109" hidden="1" x14ac:dyDescent="0.35">
      <c r="A317">
        <v>199908</v>
      </c>
      <c r="B317">
        <v>199908</v>
      </c>
      <c r="D317" t="s">
        <v>121</v>
      </c>
      <c r="E317" t="s">
        <v>99</v>
      </c>
      <c r="F317" t="s">
        <v>104</v>
      </c>
      <c r="G317" t="s">
        <v>119</v>
      </c>
      <c r="H317" t="s">
        <v>409</v>
      </c>
      <c r="J317">
        <v>356435404</v>
      </c>
      <c r="K317" t="s">
        <v>19</v>
      </c>
      <c r="L317" t="s">
        <v>412</v>
      </c>
      <c r="M317" t="s">
        <v>39</v>
      </c>
      <c r="P317" t="s">
        <v>38</v>
      </c>
      <c r="Q317" t="s">
        <v>4</v>
      </c>
      <c r="V317" t="s">
        <v>36</v>
      </c>
      <c r="AE317" t="s">
        <v>35</v>
      </c>
      <c r="AI317" t="s">
        <v>616</v>
      </c>
      <c r="AK317" t="s">
        <v>615</v>
      </c>
      <c r="AL317">
        <v>4605691</v>
      </c>
      <c r="AM317" t="s">
        <v>114</v>
      </c>
      <c r="AN317" t="s">
        <v>113</v>
      </c>
      <c r="AO317" t="s">
        <v>607</v>
      </c>
      <c r="AP317" t="s">
        <v>606</v>
      </c>
      <c r="AQ317" t="s">
        <v>614</v>
      </c>
      <c r="AR317" s="1">
        <v>45519</v>
      </c>
      <c r="AX317">
        <v>11</v>
      </c>
      <c r="AY317">
        <v>638398</v>
      </c>
      <c r="AZ317">
        <v>5600554</v>
      </c>
      <c r="BA317">
        <v>238</v>
      </c>
      <c r="BB317" t="s">
        <v>603</v>
      </c>
      <c r="BC317" t="s">
        <v>603</v>
      </c>
      <c r="BD317" t="s">
        <v>94</v>
      </c>
      <c r="BF317" t="s">
        <v>449</v>
      </c>
      <c r="BG317">
        <v>1</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v>0</v>
      </c>
      <c r="DE317" t="s">
        <v>0</v>
      </c>
    </row>
    <row r="318" spans="1:109" hidden="1" x14ac:dyDescent="0.35">
      <c r="A318">
        <v>199909</v>
      </c>
      <c r="B318">
        <v>199909</v>
      </c>
      <c r="D318" t="s">
        <v>121</v>
      </c>
      <c r="E318" t="s">
        <v>99</v>
      </c>
      <c r="F318" t="s">
        <v>104</v>
      </c>
      <c r="G318" t="s">
        <v>103</v>
      </c>
      <c r="H318" t="s">
        <v>409</v>
      </c>
      <c r="J318">
        <v>356442638</v>
      </c>
      <c r="K318" t="s">
        <v>19</v>
      </c>
      <c r="L318" t="s">
        <v>412</v>
      </c>
      <c r="M318" t="s">
        <v>39</v>
      </c>
      <c r="P318" t="s">
        <v>38</v>
      </c>
      <c r="Q318" t="s">
        <v>4</v>
      </c>
      <c r="V318" t="s">
        <v>36</v>
      </c>
      <c r="AE318" t="s">
        <v>35</v>
      </c>
      <c r="AI318" t="s">
        <v>609</v>
      </c>
      <c r="AK318" t="s">
        <v>613</v>
      </c>
      <c r="AL318">
        <v>4605727</v>
      </c>
      <c r="AM318" t="s">
        <v>114</v>
      </c>
      <c r="AN318" t="s">
        <v>113</v>
      </c>
      <c r="AO318" t="s">
        <v>607</v>
      </c>
      <c r="AP318" t="s">
        <v>606</v>
      </c>
      <c r="AQ318" t="s">
        <v>612</v>
      </c>
      <c r="AR318" s="1">
        <v>45519</v>
      </c>
      <c r="AX318">
        <v>11</v>
      </c>
      <c r="AY318">
        <v>638011</v>
      </c>
      <c r="AZ318">
        <v>5600853</v>
      </c>
      <c r="BA318">
        <v>590</v>
      </c>
      <c r="BB318" t="s">
        <v>611</v>
      </c>
      <c r="BC318" t="s">
        <v>610</v>
      </c>
      <c r="BD318" t="s">
        <v>94</v>
      </c>
      <c r="BF318" t="s">
        <v>449</v>
      </c>
      <c r="BG318">
        <v>1</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DE318" t="s">
        <v>0</v>
      </c>
    </row>
    <row r="319" spans="1:109" hidden="1" x14ac:dyDescent="0.35">
      <c r="A319">
        <v>199910</v>
      </c>
      <c r="B319">
        <v>199910</v>
      </c>
      <c r="D319" t="s">
        <v>121</v>
      </c>
      <c r="E319" t="s">
        <v>99</v>
      </c>
      <c r="F319" t="s">
        <v>104</v>
      </c>
      <c r="G319" t="s">
        <v>119</v>
      </c>
      <c r="H319" t="s">
        <v>409</v>
      </c>
      <c r="J319">
        <v>356528640</v>
      </c>
      <c r="K319" t="s">
        <v>19</v>
      </c>
      <c r="L319" t="s">
        <v>412</v>
      </c>
      <c r="M319" t="s">
        <v>39</v>
      </c>
      <c r="P319" t="s">
        <v>38</v>
      </c>
      <c r="Q319" t="s">
        <v>4</v>
      </c>
      <c r="V319" t="s">
        <v>36</v>
      </c>
      <c r="AE319" t="s">
        <v>35</v>
      </c>
      <c r="AI319" t="s">
        <v>609</v>
      </c>
      <c r="AK319" t="s">
        <v>608</v>
      </c>
      <c r="AL319">
        <v>4605723</v>
      </c>
      <c r="AM319" t="s">
        <v>114</v>
      </c>
      <c r="AN319" t="s">
        <v>113</v>
      </c>
      <c r="AO319" t="s">
        <v>607</v>
      </c>
      <c r="AP319" t="s">
        <v>606</v>
      </c>
      <c r="AQ319" t="s">
        <v>605</v>
      </c>
      <c r="AR319" s="1">
        <v>45519</v>
      </c>
      <c r="AX319">
        <v>11</v>
      </c>
      <c r="AY319">
        <v>638274</v>
      </c>
      <c r="AZ319">
        <v>5600664</v>
      </c>
      <c r="BA319">
        <v>430</v>
      </c>
      <c r="BB319" t="s">
        <v>604</v>
      </c>
      <c r="BC319" t="s">
        <v>603</v>
      </c>
      <c r="BD319" t="s">
        <v>94</v>
      </c>
      <c r="BF319" t="s">
        <v>449</v>
      </c>
      <c r="BG319">
        <v>1</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DE319" t="s">
        <v>0</v>
      </c>
    </row>
    <row r="320" spans="1:109" hidden="1" x14ac:dyDescent="0.35">
      <c r="A320">
        <v>1004600014</v>
      </c>
      <c r="D320" t="s">
        <v>100</v>
      </c>
      <c r="E320" t="s">
        <v>120</v>
      </c>
      <c r="F320" t="s">
        <v>98</v>
      </c>
      <c r="G320" t="s">
        <v>97</v>
      </c>
      <c r="H320" t="s">
        <v>602</v>
      </c>
      <c r="J320">
        <v>356481554</v>
      </c>
      <c r="AL320">
        <v>4600014</v>
      </c>
      <c r="AX320">
        <v>11</v>
      </c>
      <c r="AY320">
        <v>643731</v>
      </c>
      <c r="AZ320">
        <v>5471867</v>
      </c>
      <c r="BA320">
        <v>84.570195557295094</v>
      </c>
      <c r="BB320" t="s">
        <v>601</v>
      </c>
      <c r="BC320" t="s">
        <v>601</v>
      </c>
      <c r="BD320" t="s">
        <v>94</v>
      </c>
      <c r="BF320" t="s">
        <v>449</v>
      </c>
      <c r="BG320">
        <v>1</v>
      </c>
      <c r="BH320" t="s">
        <v>600</v>
      </c>
      <c r="BI320">
        <v>6</v>
      </c>
      <c r="BM320">
        <v>0</v>
      </c>
      <c r="BN320">
        <v>0</v>
      </c>
      <c r="BO320">
        <v>0</v>
      </c>
      <c r="BP320">
        <v>0</v>
      </c>
      <c r="BQ320">
        <v>0</v>
      </c>
      <c r="BR320">
        <v>0</v>
      </c>
      <c r="BS320">
        <v>0</v>
      </c>
      <c r="BT320">
        <v>0</v>
      </c>
      <c r="BU320">
        <v>0</v>
      </c>
      <c r="BV320">
        <v>0</v>
      </c>
      <c r="BW320">
        <v>0</v>
      </c>
      <c r="BX320">
        <v>0</v>
      </c>
      <c r="BY320">
        <v>0</v>
      </c>
      <c r="BZ320">
        <v>0</v>
      </c>
      <c r="CA320">
        <v>0</v>
      </c>
      <c r="CB320">
        <v>0</v>
      </c>
      <c r="CC320">
        <v>0</v>
      </c>
      <c r="CD320">
        <v>0</v>
      </c>
      <c r="CE320">
        <v>0</v>
      </c>
      <c r="CF320">
        <v>0</v>
      </c>
      <c r="CG320">
        <v>0</v>
      </c>
      <c r="CH320">
        <v>0</v>
      </c>
      <c r="CI320">
        <v>0</v>
      </c>
      <c r="CJ320">
        <v>0</v>
      </c>
      <c r="CK320">
        <v>0</v>
      </c>
      <c r="CL320">
        <v>1.6059066755264799</v>
      </c>
      <c r="CM320">
        <v>0</v>
      </c>
      <c r="CN320">
        <v>0.27</v>
      </c>
      <c r="CO320">
        <v>0</v>
      </c>
      <c r="CP320">
        <v>0</v>
      </c>
      <c r="CQ320">
        <v>1.61</v>
      </c>
      <c r="CR320">
        <v>1.61</v>
      </c>
      <c r="CS320">
        <v>1.61</v>
      </c>
      <c r="CT320">
        <v>1.61</v>
      </c>
      <c r="DE320" t="s">
        <v>0</v>
      </c>
    </row>
    <row r="321" spans="1:109" hidden="1" x14ac:dyDescent="0.35">
      <c r="A321">
        <v>1004600480</v>
      </c>
      <c r="D321" t="s">
        <v>100</v>
      </c>
      <c r="E321" t="s">
        <v>99</v>
      </c>
      <c r="F321" t="s">
        <v>98</v>
      </c>
      <c r="G321" t="s">
        <v>97</v>
      </c>
      <c r="J321">
        <v>356557724</v>
      </c>
      <c r="AL321">
        <v>4600480</v>
      </c>
      <c r="AX321">
        <v>11</v>
      </c>
      <c r="AY321">
        <v>648203</v>
      </c>
      <c r="AZ321">
        <v>5549515</v>
      </c>
      <c r="BA321">
        <v>719.39273088946197</v>
      </c>
      <c r="BB321" t="s">
        <v>599</v>
      </c>
      <c r="BC321" t="s">
        <v>599</v>
      </c>
      <c r="BD321" t="s">
        <v>94</v>
      </c>
      <c r="BF321" t="s">
        <v>449</v>
      </c>
      <c r="BG321">
        <v>1</v>
      </c>
      <c r="BH321">
        <v>1024747094</v>
      </c>
      <c r="BI321">
        <v>1</v>
      </c>
      <c r="BM321">
        <v>0</v>
      </c>
      <c r="BN321">
        <v>0</v>
      </c>
      <c r="BO321">
        <v>0</v>
      </c>
      <c r="BP321">
        <v>0</v>
      </c>
      <c r="BQ321">
        <v>0</v>
      </c>
      <c r="BR321">
        <v>0</v>
      </c>
      <c r="BS321">
        <v>0</v>
      </c>
      <c r="BT321">
        <v>0</v>
      </c>
      <c r="BU321">
        <v>0</v>
      </c>
      <c r="BV321">
        <v>0</v>
      </c>
      <c r="BW321">
        <v>0</v>
      </c>
      <c r="BX321">
        <v>0</v>
      </c>
      <c r="BY321">
        <v>0</v>
      </c>
      <c r="BZ321">
        <v>0</v>
      </c>
      <c r="CA321">
        <v>0</v>
      </c>
      <c r="CB321">
        <v>0</v>
      </c>
      <c r="CC321">
        <v>0</v>
      </c>
      <c r="CD321">
        <v>0</v>
      </c>
      <c r="CE321">
        <v>0</v>
      </c>
      <c r="CF321">
        <v>0</v>
      </c>
      <c r="CG321">
        <v>0</v>
      </c>
      <c r="CH321">
        <v>0</v>
      </c>
      <c r="CI321">
        <v>0</v>
      </c>
      <c r="CJ321">
        <v>0</v>
      </c>
      <c r="CK321">
        <v>0</v>
      </c>
      <c r="CL321">
        <v>3.34799493348851</v>
      </c>
      <c r="CM321">
        <v>0</v>
      </c>
      <c r="CN321">
        <v>3.01</v>
      </c>
      <c r="CO321">
        <v>0</v>
      </c>
      <c r="CP321">
        <v>0</v>
      </c>
      <c r="CQ321">
        <v>3.35</v>
      </c>
      <c r="CR321">
        <v>3.35</v>
      </c>
      <c r="CS321">
        <v>3.35</v>
      </c>
      <c r="CT321">
        <v>3.35</v>
      </c>
      <c r="DE321" t="s">
        <v>0</v>
      </c>
    </row>
    <row r="322" spans="1:109" hidden="1" x14ac:dyDescent="0.35">
      <c r="A322">
        <v>1004601412</v>
      </c>
      <c r="D322" t="s">
        <v>100</v>
      </c>
      <c r="E322" t="s">
        <v>99</v>
      </c>
      <c r="F322" t="s">
        <v>98</v>
      </c>
      <c r="G322" t="s">
        <v>97</v>
      </c>
      <c r="J322">
        <v>356561520</v>
      </c>
      <c r="AL322">
        <v>4601412</v>
      </c>
      <c r="AX322">
        <v>11</v>
      </c>
      <c r="AY322">
        <v>649441</v>
      </c>
      <c r="AZ322">
        <v>5503836</v>
      </c>
      <c r="BA322">
        <v>2172.1913696213301</v>
      </c>
      <c r="BB322" t="s">
        <v>598</v>
      </c>
      <c r="BC322" t="s">
        <v>597</v>
      </c>
      <c r="BD322" t="s">
        <v>94</v>
      </c>
      <c r="BE322" t="s">
        <v>596</v>
      </c>
      <c r="BF322" t="s">
        <v>449</v>
      </c>
      <c r="BG322">
        <v>1</v>
      </c>
      <c r="BH322">
        <v>1024754325</v>
      </c>
      <c r="BI322">
        <v>1</v>
      </c>
      <c r="BM322">
        <v>0</v>
      </c>
      <c r="BN322">
        <v>0</v>
      </c>
      <c r="BO322">
        <v>0</v>
      </c>
      <c r="BP322">
        <v>0</v>
      </c>
      <c r="BQ322">
        <v>0</v>
      </c>
      <c r="BR322">
        <v>0</v>
      </c>
      <c r="BS322">
        <v>0</v>
      </c>
      <c r="BT322">
        <v>0</v>
      </c>
      <c r="BU322">
        <v>0</v>
      </c>
      <c r="BV322">
        <v>0</v>
      </c>
      <c r="BW322">
        <v>0</v>
      </c>
      <c r="BX322">
        <v>0</v>
      </c>
      <c r="BY322">
        <v>0</v>
      </c>
      <c r="BZ322">
        <v>0</v>
      </c>
      <c r="CA322">
        <v>0</v>
      </c>
      <c r="CB322">
        <v>0</v>
      </c>
      <c r="CC322">
        <v>0</v>
      </c>
      <c r="CD322">
        <v>0</v>
      </c>
      <c r="CE322">
        <v>0</v>
      </c>
      <c r="CF322">
        <v>0</v>
      </c>
      <c r="CG322">
        <v>0</v>
      </c>
      <c r="CH322">
        <v>0</v>
      </c>
      <c r="CI322">
        <v>0</v>
      </c>
      <c r="CJ322">
        <v>0</v>
      </c>
      <c r="CK322">
        <v>5.7835571389154099</v>
      </c>
      <c r="CL322">
        <v>6.4420777628859698</v>
      </c>
      <c r="CM322">
        <v>5.0599999999999996</v>
      </c>
      <c r="CN322">
        <v>5.19</v>
      </c>
      <c r="CO322">
        <v>5.78</v>
      </c>
      <c r="CP322">
        <v>5.78</v>
      </c>
      <c r="CQ322">
        <v>6.44</v>
      </c>
      <c r="CR322">
        <v>6.44</v>
      </c>
      <c r="CS322">
        <v>6.44</v>
      </c>
      <c r="CT322">
        <v>6.44</v>
      </c>
      <c r="DE322" t="s">
        <v>0</v>
      </c>
    </row>
    <row r="323" spans="1:109" hidden="1" x14ac:dyDescent="0.35">
      <c r="A323">
        <v>1004602182</v>
      </c>
      <c r="D323" t="s">
        <v>100</v>
      </c>
      <c r="E323" t="s">
        <v>99</v>
      </c>
      <c r="F323" t="s">
        <v>98</v>
      </c>
      <c r="G323" t="s">
        <v>97</v>
      </c>
      <c r="J323">
        <v>356559093</v>
      </c>
      <c r="AL323">
        <v>4602182</v>
      </c>
      <c r="AX323">
        <v>11</v>
      </c>
      <c r="AY323">
        <v>637268</v>
      </c>
      <c r="AZ323">
        <v>5483568</v>
      </c>
      <c r="BA323">
        <v>4041.8667420484499</v>
      </c>
      <c r="BB323" t="s">
        <v>467</v>
      </c>
      <c r="BC323" t="s">
        <v>595</v>
      </c>
      <c r="BD323" t="s">
        <v>94</v>
      </c>
      <c r="BE323" t="s">
        <v>465</v>
      </c>
      <c r="BF323" t="s">
        <v>449</v>
      </c>
      <c r="BG323">
        <v>1</v>
      </c>
      <c r="BH323" t="s">
        <v>594</v>
      </c>
      <c r="BI323">
        <v>3</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0</v>
      </c>
      <c r="CG323">
        <v>0</v>
      </c>
      <c r="CH323">
        <v>0</v>
      </c>
      <c r="CI323">
        <v>0</v>
      </c>
      <c r="CJ323">
        <v>0</v>
      </c>
      <c r="CK323">
        <v>7.5433150021562101</v>
      </c>
      <c r="CL323">
        <v>7.6537155532786496</v>
      </c>
      <c r="CM323">
        <v>7.54</v>
      </c>
      <c r="CN323">
        <v>7.28</v>
      </c>
      <c r="CO323">
        <v>7.54</v>
      </c>
      <c r="CP323">
        <v>7.54</v>
      </c>
      <c r="CQ323">
        <v>7.65</v>
      </c>
      <c r="CR323">
        <v>7.65</v>
      </c>
      <c r="CS323">
        <v>9.6199999999999992</v>
      </c>
      <c r="CT323">
        <v>9.6199999999999992</v>
      </c>
      <c r="DE323" t="s">
        <v>0</v>
      </c>
    </row>
    <row r="324" spans="1:109" hidden="1" x14ac:dyDescent="0.35">
      <c r="A324">
        <v>1004602538</v>
      </c>
      <c r="D324" t="s">
        <v>100</v>
      </c>
      <c r="E324" t="s">
        <v>99</v>
      </c>
      <c r="F324" t="s">
        <v>98</v>
      </c>
      <c r="G324" t="s">
        <v>97</v>
      </c>
      <c r="J324">
        <v>356566667</v>
      </c>
      <c r="AL324">
        <v>4602538</v>
      </c>
      <c r="AX324">
        <v>11</v>
      </c>
      <c r="AY324">
        <v>664369</v>
      </c>
      <c r="AZ324">
        <v>5514656</v>
      </c>
      <c r="BA324">
        <v>22060.785494342901</v>
      </c>
      <c r="BB324" t="s">
        <v>452</v>
      </c>
      <c r="BC324" t="s">
        <v>593</v>
      </c>
      <c r="BD324" t="s">
        <v>94</v>
      </c>
      <c r="BE324" t="s">
        <v>450</v>
      </c>
      <c r="BF324" t="s">
        <v>449</v>
      </c>
      <c r="BG324">
        <v>1</v>
      </c>
      <c r="BH324">
        <v>1004606266</v>
      </c>
      <c r="BI324">
        <v>1</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10.290811986064501</v>
      </c>
      <c r="CL324">
        <v>14.4576126813452</v>
      </c>
      <c r="CM324">
        <v>10.29</v>
      </c>
      <c r="CN324">
        <v>13.81</v>
      </c>
      <c r="CO324">
        <v>10.29</v>
      </c>
      <c r="CP324">
        <v>10.29</v>
      </c>
      <c r="CQ324">
        <v>14.46</v>
      </c>
      <c r="CR324">
        <v>14.46</v>
      </c>
      <c r="CS324">
        <v>14.46</v>
      </c>
      <c r="CT324">
        <v>14.46</v>
      </c>
      <c r="DE324" t="s">
        <v>0</v>
      </c>
    </row>
    <row r="325" spans="1:109" hidden="1" x14ac:dyDescent="0.35">
      <c r="A325">
        <v>1004603202</v>
      </c>
      <c r="D325" t="s">
        <v>100</v>
      </c>
      <c r="E325" t="s">
        <v>99</v>
      </c>
      <c r="F325" t="s">
        <v>98</v>
      </c>
      <c r="G325" t="s">
        <v>97</v>
      </c>
      <c r="J325">
        <v>356563871</v>
      </c>
      <c r="AL325">
        <v>4603202</v>
      </c>
      <c r="AX325">
        <v>11</v>
      </c>
      <c r="AY325">
        <v>655425</v>
      </c>
      <c r="AZ325">
        <v>5528947</v>
      </c>
      <c r="BA325">
        <v>2070.60359817259</v>
      </c>
      <c r="BB325" t="s">
        <v>96</v>
      </c>
      <c r="BC325" t="s">
        <v>96</v>
      </c>
      <c r="BD325" t="s">
        <v>94</v>
      </c>
      <c r="BE325" t="s">
        <v>93</v>
      </c>
      <c r="BF325" t="s">
        <v>449</v>
      </c>
      <c r="BG325">
        <v>1</v>
      </c>
      <c r="BH325" t="s">
        <v>482</v>
      </c>
      <c r="BI325">
        <v>16</v>
      </c>
      <c r="BM325">
        <v>0</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0</v>
      </c>
      <c r="CG325">
        <v>0</v>
      </c>
      <c r="CH325">
        <v>0</v>
      </c>
      <c r="CI325">
        <v>0</v>
      </c>
      <c r="CJ325">
        <v>0</v>
      </c>
      <c r="CK325">
        <v>13.9436797053138</v>
      </c>
      <c r="CL325">
        <v>19.140855555444201</v>
      </c>
      <c r="CM325">
        <v>8.93</v>
      </c>
      <c r="CN325">
        <v>11.84</v>
      </c>
      <c r="CO325">
        <v>13.94</v>
      </c>
      <c r="CP325">
        <v>13.94</v>
      </c>
      <c r="CQ325">
        <v>19.14</v>
      </c>
      <c r="CR325">
        <v>19.14</v>
      </c>
      <c r="CS325">
        <v>19.14</v>
      </c>
      <c r="CT325">
        <v>19.14</v>
      </c>
      <c r="DE325" t="s">
        <v>0</v>
      </c>
    </row>
    <row r="326" spans="1:109" hidden="1" x14ac:dyDescent="0.35">
      <c r="A326">
        <v>1004603445</v>
      </c>
      <c r="D326" t="s">
        <v>100</v>
      </c>
      <c r="E326" t="s">
        <v>99</v>
      </c>
      <c r="F326" t="s">
        <v>98</v>
      </c>
      <c r="G326" t="s">
        <v>97</v>
      </c>
      <c r="J326">
        <v>356570562</v>
      </c>
      <c r="AL326">
        <v>4603445</v>
      </c>
      <c r="AX326">
        <v>11</v>
      </c>
      <c r="AY326">
        <v>645469</v>
      </c>
      <c r="AZ326">
        <v>5590327</v>
      </c>
      <c r="BA326">
        <v>197592.96669738699</v>
      </c>
      <c r="BB326" t="s">
        <v>459</v>
      </c>
      <c r="BC326" t="s">
        <v>592</v>
      </c>
      <c r="BD326" t="s">
        <v>94</v>
      </c>
      <c r="BE326" t="s">
        <v>457</v>
      </c>
      <c r="BF326" t="s">
        <v>449</v>
      </c>
      <c r="BG326">
        <v>1</v>
      </c>
      <c r="BH326">
        <v>1004605651</v>
      </c>
      <c r="BI326">
        <v>1</v>
      </c>
      <c r="BM326">
        <v>0</v>
      </c>
      <c r="BN326">
        <v>0</v>
      </c>
      <c r="BO326">
        <v>0</v>
      </c>
      <c r="BP326">
        <v>0</v>
      </c>
      <c r="BQ326">
        <v>0</v>
      </c>
      <c r="BR326">
        <v>0</v>
      </c>
      <c r="BS326">
        <v>0</v>
      </c>
      <c r="BT326">
        <v>0</v>
      </c>
      <c r="BU326">
        <v>0</v>
      </c>
      <c r="BV326">
        <v>0</v>
      </c>
      <c r="BW326">
        <v>0</v>
      </c>
      <c r="BX326">
        <v>0</v>
      </c>
      <c r="BY326">
        <v>0</v>
      </c>
      <c r="BZ326">
        <v>0</v>
      </c>
      <c r="CA326">
        <v>0</v>
      </c>
      <c r="CB326">
        <v>0</v>
      </c>
      <c r="CC326">
        <v>0</v>
      </c>
      <c r="CD326">
        <v>0</v>
      </c>
      <c r="CE326">
        <v>0</v>
      </c>
      <c r="CF326">
        <v>0</v>
      </c>
      <c r="CG326">
        <v>0</v>
      </c>
      <c r="CH326">
        <v>0</v>
      </c>
      <c r="CI326">
        <v>0</v>
      </c>
      <c r="CJ326">
        <v>0</v>
      </c>
      <c r="CK326">
        <v>31.777845685813499</v>
      </c>
      <c r="CL326">
        <v>40.239536174469599</v>
      </c>
      <c r="CM326">
        <v>31.78</v>
      </c>
      <c r="CN326">
        <v>39.119999999999997</v>
      </c>
      <c r="CO326">
        <v>31.78</v>
      </c>
      <c r="CP326">
        <v>31.78</v>
      </c>
      <c r="CQ326">
        <v>40.24</v>
      </c>
      <c r="CR326">
        <v>40.24</v>
      </c>
      <c r="CS326">
        <v>40.24</v>
      </c>
      <c r="CT326">
        <v>40.24</v>
      </c>
      <c r="DE326" t="s">
        <v>0</v>
      </c>
    </row>
    <row r="327" spans="1:109" hidden="1" x14ac:dyDescent="0.35">
      <c r="A327">
        <v>1004604051</v>
      </c>
      <c r="D327" t="s">
        <v>100</v>
      </c>
      <c r="E327" t="s">
        <v>99</v>
      </c>
      <c r="F327" t="s">
        <v>98</v>
      </c>
      <c r="G327" t="s">
        <v>97</v>
      </c>
      <c r="J327">
        <v>356565392</v>
      </c>
      <c r="AL327">
        <v>4604051</v>
      </c>
      <c r="AX327">
        <v>11</v>
      </c>
      <c r="AY327">
        <v>647638</v>
      </c>
      <c r="AZ327">
        <v>5580273</v>
      </c>
      <c r="BA327">
        <v>846.05692582176505</v>
      </c>
      <c r="BB327" t="s">
        <v>591</v>
      </c>
      <c r="BC327" t="s">
        <v>591</v>
      </c>
      <c r="BD327" t="s">
        <v>94</v>
      </c>
      <c r="BE327" t="s">
        <v>590</v>
      </c>
      <c r="BF327" t="s">
        <v>449</v>
      </c>
      <c r="BG327">
        <v>1</v>
      </c>
      <c r="BM327">
        <v>0</v>
      </c>
      <c r="BN327">
        <v>0</v>
      </c>
      <c r="BO327">
        <v>0</v>
      </c>
      <c r="BP327">
        <v>0</v>
      </c>
      <c r="BQ327">
        <v>0</v>
      </c>
      <c r="BR327">
        <v>0</v>
      </c>
      <c r="BS327">
        <v>0</v>
      </c>
      <c r="BT327">
        <v>0</v>
      </c>
      <c r="BU327">
        <v>0</v>
      </c>
      <c r="BV327">
        <v>0</v>
      </c>
      <c r="BW327">
        <v>0</v>
      </c>
      <c r="BX327">
        <v>0</v>
      </c>
      <c r="BY327">
        <v>0</v>
      </c>
      <c r="BZ327">
        <v>0</v>
      </c>
      <c r="CA327">
        <v>0</v>
      </c>
      <c r="CB327">
        <v>0</v>
      </c>
      <c r="CC327">
        <v>0</v>
      </c>
      <c r="CD327">
        <v>0</v>
      </c>
      <c r="CE327">
        <v>0</v>
      </c>
      <c r="CF327">
        <v>0</v>
      </c>
      <c r="CG327">
        <v>0</v>
      </c>
      <c r="CH327">
        <v>0</v>
      </c>
      <c r="CI327">
        <v>0</v>
      </c>
      <c r="CJ327">
        <v>0</v>
      </c>
      <c r="CK327">
        <v>1.8348488356418</v>
      </c>
      <c r="CL327">
        <v>6.5869852743469401</v>
      </c>
      <c r="CM327">
        <v>1.83</v>
      </c>
      <c r="CN327">
        <v>6.59</v>
      </c>
      <c r="CO327">
        <v>1.83</v>
      </c>
      <c r="CP327">
        <v>1.83</v>
      </c>
      <c r="CQ327">
        <v>6.59</v>
      </c>
      <c r="CR327">
        <v>6.59</v>
      </c>
      <c r="CS327">
        <v>6.59</v>
      </c>
      <c r="CT327">
        <v>6.59</v>
      </c>
      <c r="DE327" t="s">
        <v>0</v>
      </c>
    </row>
    <row r="328" spans="1:109" s="2" customFormat="1" hidden="1" x14ac:dyDescent="0.35">
      <c r="A328" s="2">
        <v>1004604117</v>
      </c>
      <c r="B328" s="2">
        <v>1004604117</v>
      </c>
      <c r="D328" s="2" t="s">
        <v>100</v>
      </c>
      <c r="E328" s="2" t="s">
        <v>99</v>
      </c>
      <c r="F328" s="2" t="s">
        <v>104</v>
      </c>
      <c r="G328" s="2" t="s">
        <v>103</v>
      </c>
      <c r="J328" s="2">
        <v>356558982</v>
      </c>
      <c r="K328" s="2" t="s">
        <v>585</v>
      </c>
      <c r="M328" s="2" t="s">
        <v>47</v>
      </c>
      <c r="P328" s="2" t="s">
        <v>589</v>
      </c>
      <c r="Q328" s="2" t="s">
        <v>47</v>
      </c>
      <c r="AE328" s="2" t="s">
        <v>588</v>
      </c>
      <c r="AI328" s="2" t="s">
        <v>587</v>
      </c>
      <c r="AL328" s="2">
        <v>4604117</v>
      </c>
      <c r="AX328" s="2">
        <v>11</v>
      </c>
      <c r="AY328" s="2">
        <v>652166</v>
      </c>
      <c r="AZ328" s="2">
        <v>5559027</v>
      </c>
      <c r="BA328" s="2">
        <v>166.15613533631301</v>
      </c>
      <c r="BB328" s="2" t="s">
        <v>586</v>
      </c>
      <c r="BC328" s="2" t="s">
        <v>586</v>
      </c>
      <c r="BD328" s="2" t="s">
        <v>94</v>
      </c>
      <c r="BE328" s="2" t="s">
        <v>585</v>
      </c>
      <c r="BF328" s="2" t="s">
        <v>449</v>
      </c>
      <c r="BG328" s="2">
        <v>1</v>
      </c>
      <c r="BM328" s="2">
        <v>0</v>
      </c>
      <c r="BN328" s="2">
        <v>0</v>
      </c>
      <c r="BO328" s="2">
        <v>0</v>
      </c>
      <c r="BP328" s="2">
        <v>0</v>
      </c>
      <c r="BQ328" s="2">
        <v>0</v>
      </c>
      <c r="BR328" s="2">
        <v>0</v>
      </c>
      <c r="BS328" s="2">
        <v>0</v>
      </c>
      <c r="BT328" s="2">
        <v>0</v>
      </c>
      <c r="BU328" s="2">
        <v>0</v>
      </c>
      <c r="BV328" s="2">
        <v>0</v>
      </c>
      <c r="BW328" s="2">
        <v>0</v>
      </c>
      <c r="BX328" s="2">
        <v>0</v>
      </c>
      <c r="BY328" s="2">
        <v>0</v>
      </c>
      <c r="BZ328" s="2">
        <v>0</v>
      </c>
      <c r="CA328" s="2">
        <v>0</v>
      </c>
      <c r="CB328" s="2">
        <v>0</v>
      </c>
      <c r="CC328" s="2">
        <v>0</v>
      </c>
      <c r="CD328" s="2">
        <v>0</v>
      </c>
      <c r="CE328" s="2">
        <v>0</v>
      </c>
      <c r="CF328" s="2">
        <v>0</v>
      </c>
      <c r="CG328" s="2">
        <v>0</v>
      </c>
      <c r="CH328" s="2">
        <v>0</v>
      </c>
      <c r="CI328" s="2">
        <v>0</v>
      </c>
      <c r="CJ328" s="2">
        <v>0</v>
      </c>
      <c r="CK328" s="2">
        <v>0</v>
      </c>
      <c r="CL328" s="2">
        <v>0</v>
      </c>
      <c r="CM328" s="2">
        <v>0</v>
      </c>
      <c r="CN328" s="2">
        <v>0</v>
      </c>
      <c r="CO328" s="2">
        <v>0</v>
      </c>
      <c r="CP328" s="2">
        <v>0</v>
      </c>
      <c r="CQ328" s="2">
        <v>0</v>
      </c>
      <c r="CR328" s="2">
        <v>0</v>
      </c>
      <c r="CS328" s="2">
        <v>0</v>
      </c>
      <c r="CT328" s="2">
        <v>0</v>
      </c>
      <c r="DE328" s="2" t="s">
        <v>0</v>
      </c>
    </row>
    <row r="329" spans="1:109" hidden="1" x14ac:dyDescent="0.35">
      <c r="A329">
        <v>1004604680</v>
      </c>
      <c r="D329" t="s">
        <v>100</v>
      </c>
      <c r="E329" t="s">
        <v>120</v>
      </c>
      <c r="F329" t="s">
        <v>98</v>
      </c>
      <c r="G329" t="s">
        <v>97</v>
      </c>
      <c r="H329" t="s">
        <v>584</v>
      </c>
      <c r="J329">
        <v>356518027</v>
      </c>
      <c r="AL329">
        <v>4604680</v>
      </c>
      <c r="AX329">
        <v>11</v>
      </c>
      <c r="AY329">
        <v>644990</v>
      </c>
      <c r="AZ329">
        <v>5491960</v>
      </c>
      <c r="BA329">
        <v>941.52026102292496</v>
      </c>
      <c r="BB329" t="s">
        <v>583</v>
      </c>
      <c r="BC329" t="s">
        <v>583</v>
      </c>
      <c r="BD329" t="s">
        <v>94</v>
      </c>
      <c r="BE329" t="s">
        <v>582</v>
      </c>
      <c r="BF329" t="s">
        <v>449</v>
      </c>
      <c r="BG329">
        <v>1</v>
      </c>
      <c r="BH329" t="s">
        <v>581</v>
      </c>
      <c r="BI329">
        <v>2</v>
      </c>
      <c r="BM329">
        <v>0</v>
      </c>
      <c r="BN329">
        <v>0</v>
      </c>
      <c r="BO329">
        <v>0</v>
      </c>
      <c r="BP329">
        <v>0</v>
      </c>
      <c r="BQ329">
        <v>0</v>
      </c>
      <c r="BR329">
        <v>0</v>
      </c>
      <c r="BS329">
        <v>0</v>
      </c>
      <c r="BT329">
        <v>0</v>
      </c>
      <c r="BU329">
        <v>0</v>
      </c>
      <c r="BV329">
        <v>0</v>
      </c>
      <c r="BW329">
        <v>0</v>
      </c>
      <c r="BX329">
        <v>0</v>
      </c>
      <c r="BY329">
        <v>0</v>
      </c>
      <c r="BZ329">
        <v>0</v>
      </c>
      <c r="CA329">
        <v>0</v>
      </c>
      <c r="CB329">
        <v>0</v>
      </c>
      <c r="CC329">
        <v>0</v>
      </c>
      <c r="CD329">
        <v>0</v>
      </c>
      <c r="CE329">
        <v>0</v>
      </c>
      <c r="CF329">
        <v>0</v>
      </c>
      <c r="CG329">
        <v>0</v>
      </c>
      <c r="CH329">
        <v>0</v>
      </c>
      <c r="CI329">
        <v>0</v>
      </c>
      <c r="CJ329">
        <v>0</v>
      </c>
      <c r="CK329">
        <v>0</v>
      </c>
      <c r="CL329">
        <v>2.3679585201617299</v>
      </c>
      <c r="CM329">
        <v>0</v>
      </c>
      <c r="CN329">
        <v>0.77</v>
      </c>
      <c r="CO329">
        <v>0</v>
      </c>
      <c r="CP329">
        <v>0</v>
      </c>
      <c r="CQ329">
        <v>2.37</v>
      </c>
      <c r="CR329">
        <v>2.37</v>
      </c>
      <c r="CS329">
        <v>2.37</v>
      </c>
      <c r="CT329">
        <v>2.37</v>
      </c>
      <c r="DE329" t="s">
        <v>0</v>
      </c>
    </row>
    <row r="330" spans="1:109" hidden="1" x14ac:dyDescent="0.35">
      <c r="A330">
        <v>1004605600</v>
      </c>
      <c r="D330" t="s">
        <v>100</v>
      </c>
      <c r="E330" t="s">
        <v>99</v>
      </c>
      <c r="F330" t="s">
        <v>98</v>
      </c>
      <c r="G330" t="s">
        <v>97</v>
      </c>
      <c r="J330">
        <v>356558844</v>
      </c>
      <c r="AL330">
        <v>4605600</v>
      </c>
      <c r="AX330">
        <v>11</v>
      </c>
      <c r="AY330">
        <v>648275</v>
      </c>
      <c r="AZ330">
        <v>5583862</v>
      </c>
      <c r="BA330">
        <v>796.11097362769397</v>
      </c>
      <c r="BB330" t="s">
        <v>580</v>
      </c>
      <c r="BC330" t="s">
        <v>580</v>
      </c>
      <c r="BD330" t="s">
        <v>94</v>
      </c>
      <c r="BE330" t="s">
        <v>579</v>
      </c>
      <c r="BF330" t="s">
        <v>449</v>
      </c>
      <c r="BG330">
        <v>1</v>
      </c>
      <c r="BH330">
        <v>1004604003</v>
      </c>
      <c r="BI330">
        <v>1</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H330">
        <v>0</v>
      </c>
      <c r="CI330">
        <v>0</v>
      </c>
      <c r="CJ330">
        <v>0</v>
      </c>
      <c r="CK330">
        <v>0.203999999999918</v>
      </c>
      <c r="CL330">
        <v>2.0369211664843201</v>
      </c>
      <c r="CM330">
        <v>0.2</v>
      </c>
      <c r="CN330">
        <v>2.04</v>
      </c>
      <c r="CO330">
        <v>0.2</v>
      </c>
      <c r="CP330">
        <v>0.2</v>
      </c>
      <c r="CQ330">
        <v>2.04</v>
      </c>
      <c r="CR330">
        <v>2.04</v>
      </c>
      <c r="CS330">
        <v>2.04</v>
      </c>
      <c r="CT330">
        <v>2.04</v>
      </c>
      <c r="DE330" t="s">
        <v>0</v>
      </c>
    </row>
    <row r="331" spans="1:109" hidden="1" x14ac:dyDescent="0.35">
      <c r="A331">
        <v>1004605608</v>
      </c>
      <c r="D331" t="s">
        <v>100</v>
      </c>
      <c r="E331" t="s">
        <v>99</v>
      </c>
      <c r="F331" t="s">
        <v>98</v>
      </c>
      <c r="G331" t="s">
        <v>97</v>
      </c>
      <c r="J331">
        <v>356530182</v>
      </c>
      <c r="AL331">
        <v>4605608</v>
      </c>
      <c r="AX331">
        <v>11</v>
      </c>
      <c r="AY331">
        <v>661033</v>
      </c>
      <c r="AZ331">
        <v>5531449</v>
      </c>
      <c r="BA331">
        <v>1357.63277278592</v>
      </c>
      <c r="BB331" t="s">
        <v>559</v>
      </c>
      <c r="BC331" t="s">
        <v>578</v>
      </c>
      <c r="BD331" t="s">
        <v>94</v>
      </c>
      <c r="BE331" t="s">
        <v>558</v>
      </c>
      <c r="BF331" t="s">
        <v>449</v>
      </c>
      <c r="BG331">
        <v>1</v>
      </c>
      <c r="BM331">
        <v>0</v>
      </c>
      <c r="BN331">
        <v>0</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0</v>
      </c>
      <c r="CK331">
        <v>1.25447958522791</v>
      </c>
      <c r="CL331">
        <v>3.99751177901627</v>
      </c>
      <c r="CM331">
        <v>1.25</v>
      </c>
      <c r="CN331">
        <v>4</v>
      </c>
      <c r="CO331">
        <v>1.25</v>
      </c>
      <c r="CP331">
        <v>1.25</v>
      </c>
      <c r="CQ331">
        <v>4</v>
      </c>
      <c r="CR331">
        <v>4</v>
      </c>
      <c r="CS331">
        <v>4</v>
      </c>
      <c r="CT331">
        <v>4</v>
      </c>
      <c r="DE331" t="s">
        <v>0</v>
      </c>
    </row>
    <row r="332" spans="1:109" hidden="1" x14ac:dyDescent="0.35">
      <c r="A332">
        <v>1004606288</v>
      </c>
      <c r="D332" t="s">
        <v>100</v>
      </c>
      <c r="E332" t="s">
        <v>99</v>
      </c>
      <c r="F332" t="s">
        <v>98</v>
      </c>
      <c r="G332" t="s">
        <v>97</v>
      </c>
      <c r="J332">
        <v>356564642</v>
      </c>
      <c r="AL332">
        <v>4606288</v>
      </c>
      <c r="AX332">
        <v>11</v>
      </c>
      <c r="AY332">
        <v>648200</v>
      </c>
      <c r="AZ332">
        <v>5501030</v>
      </c>
      <c r="BA332">
        <v>2017.53874297179</v>
      </c>
      <c r="BB332" t="s">
        <v>577</v>
      </c>
      <c r="BC332" t="s">
        <v>576</v>
      </c>
      <c r="BD332" t="s">
        <v>94</v>
      </c>
      <c r="BE332" t="s">
        <v>575</v>
      </c>
      <c r="BF332" t="s">
        <v>449</v>
      </c>
      <c r="BG332">
        <v>1</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c r="CK332">
        <v>1.2400331721778399</v>
      </c>
      <c r="CL332">
        <v>1.6480331721777699</v>
      </c>
      <c r="CM332">
        <v>1.24</v>
      </c>
      <c r="CN332">
        <v>1.65</v>
      </c>
      <c r="CO332">
        <v>1.24</v>
      </c>
      <c r="CP332">
        <v>1.24</v>
      </c>
      <c r="CQ332">
        <v>1.65</v>
      </c>
      <c r="CR332">
        <v>1.65</v>
      </c>
      <c r="CS332">
        <v>1.65</v>
      </c>
      <c r="CT332">
        <v>1.65</v>
      </c>
      <c r="DE332" t="s">
        <v>0</v>
      </c>
    </row>
    <row r="333" spans="1:109" hidden="1" x14ac:dyDescent="0.35">
      <c r="A333">
        <v>1004606322</v>
      </c>
      <c r="D333" t="s">
        <v>100</v>
      </c>
      <c r="E333" t="s">
        <v>99</v>
      </c>
      <c r="F333" t="s">
        <v>98</v>
      </c>
      <c r="G333" t="s">
        <v>97</v>
      </c>
      <c r="J333">
        <v>356563823</v>
      </c>
      <c r="AL333">
        <v>4606322</v>
      </c>
      <c r="AX333">
        <v>11</v>
      </c>
      <c r="AY333">
        <v>661436</v>
      </c>
      <c r="AZ333">
        <v>5545237</v>
      </c>
      <c r="BA333">
        <v>7204.3472020993604</v>
      </c>
      <c r="BB333" t="s">
        <v>472</v>
      </c>
      <c r="BC333" t="s">
        <v>574</v>
      </c>
      <c r="BD333" t="s">
        <v>94</v>
      </c>
      <c r="BE333" t="s">
        <v>470</v>
      </c>
      <c r="BF333" t="s">
        <v>449</v>
      </c>
      <c r="BG333">
        <v>1</v>
      </c>
      <c r="BM333">
        <v>0</v>
      </c>
      <c r="BN333">
        <v>0</v>
      </c>
      <c r="BO333">
        <v>0</v>
      </c>
      <c r="BP333">
        <v>0</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c r="CK333">
        <v>1.2488011883591299</v>
      </c>
      <c r="CL333">
        <v>1.4184537524724401</v>
      </c>
      <c r="CM333">
        <v>1.25</v>
      </c>
      <c r="CN333">
        <v>1.42</v>
      </c>
      <c r="CO333">
        <v>1.25</v>
      </c>
      <c r="CP333">
        <v>1.25</v>
      </c>
      <c r="CQ333">
        <v>1.42</v>
      </c>
      <c r="CR333">
        <v>1.42</v>
      </c>
      <c r="CS333">
        <v>1.42</v>
      </c>
      <c r="CT333">
        <v>1.42</v>
      </c>
      <c r="DE333" t="s">
        <v>0</v>
      </c>
    </row>
    <row r="334" spans="1:109" hidden="1" x14ac:dyDescent="0.35">
      <c r="A334">
        <v>1004606811</v>
      </c>
      <c r="D334" t="s">
        <v>100</v>
      </c>
      <c r="E334" t="s">
        <v>180</v>
      </c>
      <c r="F334" t="s">
        <v>98</v>
      </c>
      <c r="G334" t="s">
        <v>97</v>
      </c>
      <c r="I334" t="s">
        <v>7</v>
      </c>
      <c r="J334">
        <v>356557060</v>
      </c>
      <c r="AL334">
        <v>4606811</v>
      </c>
      <c r="AX334">
        <v>11</v>
      </c>
      <c r="AY334">
        <v>641529</v>
      </c>
      <c r="AZ334">
        <v>5477932</v>
      </c>
      <c r="BA334">
        <v>543.17271588506401</v>
      </c>
      <c r="BB334" t="s">
        <v>573</v>
      </c>
      <c r="BC334" t="s">
        <v>572</v>
      </c>
      <c r="BD334" t="s">
        <v>94</v>
      </c>
      <c r="BF334" t="s">
        <v>449</v>
      </c>
      <c r="BG334">
        <v>1</v>
      </c>
      <c r="BH334" t="s">
        <v>571</v>
      </c>
      <c r="BI334">
        <v>2</v>
      </c>
      <c r="BM334">
        <v>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0</v>
      </c>
      <c r="CH334">
        <v>0</v>
      </c>
      <c r="CI334">
        <v>0</v>
      </c>
      <c r="CJ334">
        <v>0</v>
      </c>
      <c r="CK334">
        <v>1.28480002788039E-2</v>
      </c>
      <c r="CL334">
        <v>1.61799980695965</v>
      </c>
      <c r="CM334">
        <v>0.01</v>
      </c>
      <c r="CN334">
        <v>1.56</v>
      </c>
      <c r="CO334">
        <v>0.01</v>
      </c>
      <c r="CP334">
        <v>0.01</v>
      </c>
      <c r="CQ334">
        <v>1.62</v>
      </c>
      <c r="CR334">
        <v>1.62</v>
      </c>
      <c r="CS334">
        <v>1.62</v>
      </c>
      <c r="CT334">
        <v>1.62</v>
      </c>
      <c r="DE334" t="s">
        <v>0</v>
      </c>
    </row>
    <row r="335" spans="1:109" hidden="1" x14ac:dyDescent="0.35">
      <c r="A335">
        <v>1004606843</v>
      </c>
      <c r="D335" t="s">
        <v>100</v>
      </c>
      <c r="E335" t="s">
        <v>99</v>
      </c>
      <c r="F335" t="s">
        <v>98</v>
      </c>
      <c r="G335" t="s">
        <v>97</v>
      </c>
      <c r="J335">
        <v>356544517</v>
      </c>
      <c r="AL335">
        <v>4606843</v>
      </c>
      <c r="AX335">
        <v>11</v>
      </c>
      <c r="AY335">
        <v>655747</v>
      </c>
      <c r="AZ335">
        <v>5487118</v>
      </c>
      <c r="BA335">
        <v>3016.3291938882298</v>
      </c>
      <c r="BB335" t="s">
        <v>570</v>
      </c>
      <c r="BC335" t="s">
        <v>569</v>
      </c>
      <c r="BD335" t="s">
        <v>94</v>
      </c>
      <c r="BE335" t="s">
        <v>568</v>
      </c>
      <c r="BF335" t="s">
        <v>449</v>
      </c>
      <c r="BG335">
        <v>1</v>
      </c>
      <c r="BH335">
        <v>1004607575</v>
      </c>
      <c r="BI335">
        <v>1</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4.6485665952131399</v>
      </c>
      <c r="CL335">
        <v>9.4677878164032201</v>
      </c>
      <c r="CM335">
        <v>4.6500000000000004</v>
      </c>
      <c r="CN335">
        <v>8.42</v>
      </c>
      <c r="CO335">
        <v>4.6500000000000004</v>
      </c>
      <c r="CP335">
        <v>4.6500000000000004</v>
      </c>
      <c r="CQ335">
        <v>9.4700000000000006</v>
      </c>
      <c r="CR335">
        <v>9.4700000000000006</v>
      </c>
      <c r="CS335">
        <v>9.4700000000000006</v>
      </c>
      <c r="CT335">
        <v>9.4700000000000006</v>
      </c>
      <c r="DE335" t="s">
        <v>0</v>
      </c>
    </row>
    <row r="336" spans="1:109" hidden="1" x14ac:dyDescent="0.35">
      <c r="A336">
        <v>1024700360</v>
      </c>
      <c r="D336" t="s">
        <v>100</v>
      </c>
      <c r="E336" t="s">
        <v>120</v>
      </c>
      <c r="F336" t="s">
        <v>98</v>
      </c>
      <c r="G336" t="s">
        <v>97</v>
      </c>
      <c r="H336" t="s">
        <v>567</v>
      </c>
      <c r="J336">
        <v>356565783</v>
      </c>
      <c r="AL336">
        <v>24700360</v>
      </c>
      <c r="AX336">
        <v>11</v>
      </c>
      <c r="AY336">
        <v>660052</v>
      </c>
      <c r="AZ336">
        <v>5504597</v>
      </c>
      <c r="BA336">
        <v>12559.828179870099</v>
      </c>
      <c r="BB336" t="s">
        <v>329</v>
      </c>
      <c r="BC336" t="s">
        <v>452</v>
      </c>
      <c r="BD336" t="s">
        <v>94</v>
      </c>
      <c r="BE336" t="s">
        <v>23</v>
      </c>
      <c r="BF336" t="s">
        <v>449</v>
      </c>
      <c r="BG336">
        <v>1</v>
      </c>
      <c r="BH336" t="s">
        <v>491</v>
      </c>
      <c r="BI336">
        <v>48</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c r="CK336">
        <v>76.8684767485192</v>
      </c>
      <c r="CL336">
        <v>103.005046785242</v>
      </c>
      <c r="CM336">
        <v>71.58</v>
      </c>
      <c r="CN336">
        <v>87.53</v>
      </c>
      <c r="CO336">
        <v>76.87</v>
      </c>
      <c r="CP336">
        <v>76.87</v>
      </c>
      <c r="CQ336">
        <v>103.01</v>
      </c>
      <c r="CR336">
        <v>103.01</v>
      </c>
      <c r="CS336">
        <v>103.01</v>
      </c>
      <c r="CT336">
        <v>103.01</v>
      </c>
      <c r="DE336" t="s">
        <v>0</v>
      </c>
    </row>
    <row r="337" spans="1:109" hidden="1" x14ac:dyDescent="0.35">
      <c r="A337">
        <v>1024700361</v>
      </c>
      <c r="D337" t="s">
        <v>100</v>
      </c>
      <c r="E337" t="s">
        <v>120</v>
      </c>
      <c r="F337" t="s">
        <v>98</v>
      </c>
      <c r="G337" t="s">
        <v>97</v>
      </c>
      <c r="H337" t="s">
        <v>525</v>
      </c>
      <c r="J337">
        <v>356566667</v>
      </c>
      <c r="AL337">
        <v>24700361</v>
      </c>
      <c r="AX337">
        <v>11</v>
      </c>
      <c r="AY337">
        <v>661971</v>
      </c>
      <c r="AZ337">
        <v>5503954</v>
      </c>
      <c r="BA337">
        <v>2321.9025270348502</v>
      </c>
      <c r="BB337" t="s">
        <v>452</v>
      </c>
      <c r="BC337" t="s">
        <v>566</v>
      </c>
      <c r="BD337" t="s">
        <v>94</v>
      </c>
      <c r="BE337" t="s">
        <v>450</v>
      </c>
      <c r="BF337" t="s">
        <v>449</v>
      </c>
      <c r="BG337">
        <v>1</v>
      </c>
      <c r="BH337" t="s">
        <v>493</v>
      </c>
      <c r="BI337">
        <v>20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0</v>
      </c>
      <c r="CH337">
        <v>0</v>
      </c>
      <c r="CI337">
        <v>0</v>
      </c>
      <c r="CJ337">
        <v>0</v>
      </c>
      <c r="CK337">
        <v>33.5370117773058</v>
      </c>
      <c r="CL337">
        <v>48.621411753773401</v>
      </c>
      <c r="CM337">
        <v>31.25</v>
      </c>
      <c r="CN337">
        <v>36.200000000000003</v>
      </c>
      <c r="CO337">
        <v>33.54</v>
      </c>
      <c r="CP337">
        <v>33.54</v>
      </c>
      <c r="CQ337">
        <v>48.62</v>
      </c>
      <c r="CR337">
        <v>48.62</v>
      </c>
      <c r="CS337">
        <v>48.62</v>
      </c>
      <c r="CT337">
        <v>48.62</v>
      </c>
      <c r="DE337" t="s">
        <v>0</v>
      </c>
    </row>
    <row r="338" spans="1:109" hidden="1" x14ac:dyDescent="0.35">
      <c r="A338">
        <v>1024700365</v>
      </c>
      <c r="D338" t="s">
        <v>100</v>
      </c>
      <c r="E338" t="s">
        <v>99</v>
      </c>
      <c r="F338" t="s">
        <v>98</v>
      </c>
      <c r="G338" t="s">
        <v>97</v>
      </c>
      <c r="J338">
        <v>356570562</v>
      </c>
      <c r="AL338">
        <v>24700365</v>
      </c>
      <c r="AX338">
        <v>11</v>
      </c>
      <c r="AY338">
        <v>652102</v>
      </c>
      <c r="AZ338">
        <v>5512593</v>
      </c>
      <c r="BA338">
        <v>91737.573533666306</v>
      </c>
      <c r="BB338" t="s">
        <v>459</v>
      </c>
      <c r="BC338" t="s">
        <v>329</v>
      </c>
      <c r="BD338" t="s">
        <v>94</v>
      </c>
      <c r="BE338" t="s">
        <v>457</v>
      </c>
      <c r="BF338" t="s">
        <v>449</v>
      </c>
      <c r="BG338">
        <v>1</v>
      </c>
      <c r="BH338" t="s">
        <v>486</v>
      </c>
      <c r="BI338">
        <v>107</v>
      </c>
      <c r="BM338">
        <v>0</v>
      </c>
      <c r="BN338">
        <v>0</v>
      </c>
      <c r="BO338">
        <v>0</v>
      </c>
      <c r="BP338">
        <v>0</v>
      </c>
      <c r="BQ338">
        <v>0</v>
      </c>
      <c r="BR338">
        <v>0</v>
      </c>
      <c r="BS338">
        <v>0</v>
      </c>
      <c r="BT338">
        <v>0</v>
      </c>
      <c r="BU338">
        <v>0</v>
      </c>
      <c r="BV338">
        <v>0</v>
      </c>
      <c r="BW338">
        <v>0</v>
      </c>
      <c r="BX338">
        <v>0</v>
      </c>
      <c r="BY338">
        <v>0</v>
      </c>
      <c r="BZ338">
        <v>0</v>
      </c>
      <c r="CA338">
        <v>0</v>
      </c>
      <c r="CB338">
        <v>0</v>
      </c>
      <c r="CC338">
        <v>0</v>
      </c>
      <c r="CD338">
        <v>0</v>
      </c>
      <c r="CE338">
        <v>0</v>
      </c>
      <c r="CF338">
        <v>0</v>
      </c>
      <c r="CG338">
        <v>0</v>
      </c>
      <c r="CH338">
        <v>0</v>
      </c>
      <c r="CI338">
        <v>0</v>
      </c>
      <c r="CJ338">
        <v>0</v>
      </c>
      <c r="CK338">
        <v>454.10065465916603</v>
      </c>
      <c r="CL338">
        <v>572.22983187798502</v>
      </c>
      <c r="CM338">
        <v>374.3</v>
      </c>
      <c r="CN338">
        <v>448.93</v>
      </c>
      <c r="CO338">
        <v>454.1</v>
      </c>
      <c r="CP338">
        <v>454.1</v>
      </c>
      <c r="CQ338">
        <v>572.23</v>
      </c>
      <c r="CR338">
        <v>572.23</v>
      </c>
      <c r="CS338">
        <v>579.29999999999995</v>
      </c>
      <c r="CT338">
        <v>579.29999999999995</v>
      </c>
      <c r="DE338" t="s">
        <v>0</v>
      </c>
    </row>
    <row r="339" spans="1:109" hidden="1" x14ac:dyDescent="0.35">
      <c r="A339">
        <v>1024700375</v>
      </c>
      <c r="D339" t="s">
        <v>100</v>
      </c>
      <c r="E339" t="s">
        <v>99</v>
      </c>
      <c r="F339" t="s">
        <v>98</v>
      </c>
      <c r="G339" t="s">
        <v>97</v>
      </c>
      <c r="J339">
        <v>356570562</v>
      </c>
      <c r="AL339">
        <v>24700375</v>
      </c>
      <c r="AX339">
        <v>11</v>
      </c>
      <c r="AY339">
        <v>648993</v>
      </c>
      <c r="AZ339">
        <v>5538718</v>
      </c>
      <c r="BA339">
        <v>126309.234739611</v>
      </c>
      <c r="BB339" t="s">
        <v>459</v>
      </c>
      <c r="BC339" t="s">
        <v>504</v>
      </c>
      <c r="BD339" t="s">
        <v>94</v>
      </c>
      <c r="BE339" t="s">
        <v>457</v>
      </c>
      <c r="BF339" t="s">
        <v>449</v>
      </c>
      <c r="BG339">
        <v>1</v>
      </c>
      <c r="BH339" t="s">
        <v>503</v>
      </c>
      <c r="BI339">
        <v>32</v>
      </c>
      <c r="BM339">
        <v>0</v>
      </c>
      <c r="BN339">
        <v>0</v>
      </c>
      <c r="BO339">
        <v>0</v>
      </c>
      <c r="BP339">
        <v>0</v>
      </c>
      <c r="BQ339">
        <v>0</v>
      </c>
      <c r="BR339">
        <v>0</v>
      </c>
      <c r="BS339">
        <v>0</v>
      </c>
      <c r="BT339">
        <v>0</v>
      </c>
      <c r="BU339">
        <v>0</v>
      </c>
      <c r="BV339">
        <v>0</v>
      </c>
      <c r="BW339">
        <v>0</v>
      </c>
      <c r="BX339">
        <v>0</v>
      </c>
      <c r="BY339">
        <v>0</v>
      </c>
      <c r="BZ339">
        <v>0</v>
      </c>
      <c r="CA339">
        <v>0</v>
      </c>
      <c r="CB339">
        <v>0</v>
      </c>
      <c r="CC339">
        <v>0</v>
      </c>
      <c r="CD339">
        <v>0</v>
      </c>
      <c r="CE339">
        <v>0</v>
      </c>
      <c r="CF339">
        <v>0</v>
      </c>
      <c r="CG339">
        <v>0</v>
      </c>
      <c r="CH339">
        <v>0</v>
      </c>
      <c r="CI339">
        <v>0</v>
      </c>
      <c r="CJ339">
        <v>0</v>
      </c>
      <c r="CK339">
        <v>208.61435767770701</v>
      </c>
      <c r="CL339">
        <v>287.49417034215497</v>
      </c>
      <c r="CM339">
        <v>208.11</v>
      </c>
      <c r="CN339">
        <v>271.10000000000002</v>
      </c>
      <c r="CO339">
        <v>208.61</v>
      </c>
      <c r="CP339">
        <v>208.61</v>
      </c>
      <c r="CQ339">
        <v>287.49</v>
      </c>
      <c r="CR339">
        <v>287.49</v>
      </c>
      <c r="CS339">
        <v>287.51</v>
      </c>
      <c r="CT339">
        <v>287.51</v>
      </c>
      <c r="DE339" t="s">
        <v>0</v>
      </c>
    </row>
    <row r="340" spans="1:109" hidden="1" x14ac:dyDescent="0.35">
      <c r="A340">
        <v>1024700379</v>
      </c>
      <c r="D340" t="s">
        <v>100</v>
      </c>
      <c r="E340" t="s">
        <v>99</v>
      </c>
      <c r="F340" t="s">
        <v>98</v>
      </c>
      <c r="G340" t="s">
        <v>97</v>
      </c>
      <c r="J340">
        <v>356570562</v>
      </c>
      <c r="AL340">
        <v>24700379</v>
      </c>
      <c r="AX340">
        <v>11</v>
      </c>
      <c r="AY340">
        <v>645272</v>
      </c>
      <c r="AZ340">
        <v>5560997</v>
      </c>
      <c r="BA340">
        <v>157742.29603374901</v>
      </c>
      <c r="BB340" t="s">
        <v>459</v>
      </c>
      <c r="BC340" t="s">
        <v>565</v>
      </c>
      <c r="BD340" t="s">
        <v>94</v>
      </c>
      <c r="BE340" t="s">
        <v>457</v>
      </c>
      <c r="BF340" t="s">
        <v>449</v>
      </c>
      <c r="BG340">
        <v>1</v>
      </c>
      <c r="BH340" t="s">
        <v>564</v>
      </c>
      <c r="BI340">
        <v>13</v>
      </c>
      <c r="BM340">
        <v>0</v>
      </c>
      <c r="BN340">
        <v>0</v>
      </c>
      <c r="BO340">
        <v>0</v>
      </c>
      <c r="BP340">
        <v>0</v>
      </c>
      <c r="BQ340">
        <v>0</v>
      </c>
      <c r="BR340">
        <v>0</v>
      </c>
      <c r="BS340">
        <v>0</v>
      </c>
      <c r="BT340">
        <v>0</v>
      </c>
      <c r="BU340">
        <v>0</v>
      </c>
      <c r="BV340">
        <v>0</v>
      </c>
      <c r="BW340">
        <v>0</v>
      </c>
      <c r="BX340">
        <v>0</v>
      </c>
      <c r="BY340">
        <v>0</v>
      </c>
      <c r="BZ340">
        <v>0</v>
      </c>
      <c r="CA340">
        <v>0</v>
      </c>
      <c r="CB340">
        <v>0</v>
      </c>
      <c r="CC340">
        <v>0</v>
      </c>
      <c r="CD340">
        <v>0</v>
      </c>
      <c r="CE340">
        <v>0</v>
      </c>
      <c r="CF340">
        <v>0</v>
      </c>
      <c r="CG340">
        <v>0</v>
      </c>
      <c r="CH340">
        <v>0</v>
      </c>
      <c r="CI340">
        <v>0</v>
      </c>
      <c r="CJ340">
        <v>0</v>
      </c>
      <c r="CK340">
        <v>153.48593630558599</v>
      </c>
      <c r="CL340">
        <v>207.170800882343</v>
      </c>
      <c r="CM340">
        <v>153.47</v>
      </c>
      <c r="CN340">
        <v>199.27</v>
      </c>
      <c r="CO340">
        <v>153.49</v>
      </c>
      <c r="CP340">
        <v>153.49</v>
      </c>
      <c r="CQ340">
        <v>207.17</v>
      </c>
      <c r="CR340">
        <v>207.17</v>
      </c>
      <c r="CS340">
        <v>207.17</v>
      </c>
      <c r="CT340">
        <v>207.17</v>
      </c>
      <c r="DE340" t="s">
        <v>0</v>
      </c>
    </row>
    <row r="341" spans="1:109" hidden="1" x14ac:dyDescent="0.35">
      <c r="A341">
        <v>1024700560</v>
      </c>
      <c r="D341" t="s">
        <v>100</v>
      </c>
      <c r="E341" t="s">
        <v>120</v>
      </c>
      <c r="F341" t="s">
        <v>98</v>
      </c>
      <c r="G341" t="s">
        <v>97</v>
      </c>
      <c r="H341" t="s">
        <v>563</v>
      </c>
      <c r="J341">
        <v>356570035</v>
      </c>
      <c r="AL341">
        <v>24700560</v>
      </c>
      <c r="AX341">
        <v>11</v>
      </c>
      <c r="AY341">
        <v>640441</v>
      </c>
      <c r="AZ341">
        <v>5487342</v>
      </c>
      <c r="BA341">
        <v>179.785529590804</v>
      </c>
      <c r="BB341" t="s">
        <v>562</v>
      </c>
      <c r="BC341" t="s">
        <v>562</v>
      </c>
      <c r="BD341" t="s">
        <v>94</v>
      </c>
      <c r="BE341" t="s">
        <v>561</v>
      </c>
      <c r="BF341" t="s">
        <v>449</v>
      </c>
      <c r="BG341">
        <v>1</v>
      </c>
      <c r="BH341" t="s">
        <v>560</v>
      </c>
      <c r="BI341">
        <v>3</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0</v>
      </c>
      <c r="CJ341">
        <v>0</v>
      </c>
      <c r="CK341">
        <v>2.9985590622065099</v>
      </c>
      <c r="CL341">
        <v>3.0805677927205801</v>
      </c>
      <c r="CM341">
        <v>1.78</v>
      </c>
      <c r="CN341">
        <v>1.78</v>
      </c>
      <c r="CO341">
        <v>3</v>
      </c>
      <c r="CP341">
        <v>3</v>
      </c>
      <c r="CQ341">
        <v>3.08</v>
      </c>
      <c r="CR341">
        <v>3.08</v>
      </c>
      <c r="CS341">
        <v>3.08</v>
      </c>
      <c r="CT341">
        <v>3.08</v>
      </c>
      <c r="DE341" t="s">
        <v>0</v>
      </c>
    </row>
    <row r="342" spans="1:109" hidden="1" x14ac:dyDescent="0.35">
      <c r="A342">
        <v>1024703608</v>
      </c>
      <c r="D342" t="s">
        <v>100</v>
      </c>
      <c r="E342" t="s">
        <v>99</v>
      </c>
      <c r="F342" t="s">
        <v>98</v>
      </c>
      <c r="G342" t="s">
        <v>97</v>
      </c>
      <c r="J342">
        <v>356530182</v>
      </c>
      <c r="AL342">
        <v>24703608</v>
      </c>
      <c r="AX342">
        <v>11</v>
      </c>
      <c r="AY342">
        <v>660211</v>
      </c>
      <c r="AZ342">
        <v>5531711</v>
      </c>
      <c r="BA342">
        <v>328.95407859724799</v>
      </c>
      <c r="BB342" t="s">
        <v>559</v>
      </c>
      <c r="BC342" t="s">
        <v>559</v>
      </c>
      <c r="BD342" t="s">
        <v>94</v>
      </c>
      <c r="BE342" t="s">
        <v>558</v>
      </c>
      <c r="BF342" t="s">
        <v>449</v>
      </c>
      <c r="BG342">
        <v>1</v>
      </c>
      <c r="BM342">
        <v>0</v>
      </c>
      <c r="BN342">
        <v>0</v>
      </c>
      <c r="BO342">
        <v>0</v>
      </c>
      <c r="BP342">
        <v>0</v>
      </c>
      <c r="BQ342">
        <v>0</v>
      </c>
      <c r="BR342">
        <v>0</v>
      </c>
      <c r="BS342">
        <v>0</v>
      </c>
      <c r="BT342">
        <v>0</v>
      </c>
      <c r="BU342">
        <v>0</v>
      </c>
      <c r="BV342">
        <v>0</v>
      </c>
      <c r="BW342">
        <v>0</v>
      </c>
      <c r="BX342">
        <v>0</v>
      </c>
      <c r="BY342">
        <v>0</v>
      </c>
      <c r="BZ342">
        <v>0</v>
      </c>
      <c r="CA342">
        <v>0</v>
      </c>
      <c r="CB342">
        <v>0</v>
      </c>
      <c r="CC342">
        <v>0</v>
      </c>
      <c r="CD342">
        <v>0</v>
      </c>
      <c r="CE342">
        <v>0</v>
      </c>
      <c r="CF342">
        <v>0</v>
      </c>
      <c r="CG342">
        <v>0</v>
      </c>
      <c r="CH342">
        <v>0</v>
      </c>
      <c r="CI342">
        <v>0</v>
      </c>
      <c r="CJ342">
        <v>0</v>
      </c>
      <c r="CK342">
        <v>2.3644800228095102</v>
      </c>
      <c r="CL342">
        <v>5.1075122165978701</v>
      </c>
      <c r="CM342">
        <v>2.36</v>
      </c>
      <c r="CN342">
        <v>5.1100000000000003</v>
      </c>
      <c r="CO342">
        <v>2.36</v>
      </c>
      <c r="CP342">
        <v>2.36</v>
      </c>
      <c r="CQ342">
        <v>5.1100000000000003</v>
      </c>
      <c r="CR342">
        <v>5.1100000000000003</v>
      </c>
      <c r="CS342">
        <v>5.1100000000000003</v>
      </c>
      <c r="CT342">
        <v>5.1100000000000003</v>
      </c>
      <c r="DE342" t="s">
        <v>0</v>
      </c>
    </row>
    <row r="343" spans="1:109" hidden="1" x14ac:dyDescent="0.35">
      <c r="A343">
        <v>1024703994</v>
      </c>
      <c r="D343" t="s">
        <v>100</v>
      </c>
      <c r="E343" t="s">
        <v>99</v>
      </c>
      <c r="F343" t="s">
        <v>98</v>
      </c>
      <c r="G343" t="s">
        <v>97</v>
      </c>
      <c r="J343">
        <v>356569438</v>
      </c>
      <c r="AL343">
        <v>24703994</v>
      </c>
      <c r="AX343">
        <v>11</v>
      </c>
      <c r="AY343">
        <v>644339</v>
      </c>
      <c r="AZ343">
        <v>5569402</v>
      </c>
      <c r="BA343">
        <v>60.328163917879799</v>
      </c>
      <c r="BB343" t="s">
        <v>557</v>
      </c>
      <c r="BC343" t="s">
        <v>557</v>
      </c>
      <c r="BD343" t="s">
        <v>94</v>
      </c>
      <c r="BE343" t="s">
        <v>556</v>
      </c>
      <c r="BF343" t="s">
        <v>449</v>
      </c>
      <c r="BG343">
        <v>1</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0</v>
      </c>
      <c r="CH343">
        <v>0</v>
      </c>
      <c r="CI343">
        <v>0</v>
      </c>
      <c r="CJ343">
        <v>0</v>
      </c>
      <c r="CK343">
        <v>11.364112962409299</v>
      </c>
      <c r="CL343">
        <v>18.267791985134998</v>
      </c>
      <c r="CM343">
        <v>11.364112962409299</v>
      </c>
      <c r="CN343">
        <v>18.267791985134998</v>
      </c>
      <c r="CO343">
        <v>11.36</v>
      </c>
      <c r="CP343">
        <v>11.36</v>
      </c>
      <c r="CQ343">
        <v>18.27</v>
      </c>
      <c r="CR343">
        <v>18.27</v>
      </c>
      <c r="CS343">
        <v>18.27</v>
      </c>
      <c r="CT343">
        <v>18.27</v>
      </c>
      <c r="DE343" t="s">
        <v>0</v>
      </c>
    </row>
    <row r="344" spans="1:109" hidden="1" x14ac:dyDescent="0.35">
      <c r="A344">
        <v>1024704323</v>
      </c>
      <c r="D344" t="s">
        <v>100</v>
      </c>
      <c r="E344" t="s">
        <v>180</v>
      </c>
      <c r="F344" t="s">
        <v>98</v>
      </c>
      <c r="G344" t="s">
        <v>97</v>
      </c>
      <c r="I344" t="s">
        <v>7</v>
      </c>
      <c r="J344">
        <v>356562350</v>
      </c>
      <c r="AL344">
        <v>24704323</v>
      </c>
      <c r="AX344">
        <v>11</v>
      </c>
      <c r="AY344">
        <v>645223</v>
      </c>
      <c r="AZ344">
        <v>5469202</v>
      </c>
      <c r="BA344">
        <v>245.69751030511401</v>
      </c>
      <c r="BB344" t="s">
        <v>555</v>
      </c>
      <c r="BC344" t="s">
        <v>555</v>
      </c>
      <c r="BD344" t="s">
        <v>94</v>
      </c>
      <c r="BE344" t="s">
        <v>56</v>
      </c>
      <c r="BF344" t="s">
        <v>449</v>
      </c>
      <c r="BG344">
        <v>1</v>
      </c>
      <c r="BH344" t="s">
        <v>554</v>
      </c>
      <c r="BI344">
        <v>4</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0</v>
      </c>
      <c r="CK344">
        <v>11.2748989075747</v>
      </c>
      <c r="CL344">
        <v>13.193157307738</v>
      </c>
      <c r="CM344">
        <v>9.31</v>
      </c>
      <c r="CN344">
        <v>10.08</v>
      </c>
      <c r="CO344">
        <v>11.27</v>
      </c>
      <c r="CP344">
        <v>11.27</v>
      </c>
      <c r="CQ344">
        <v>13.19</v>
      </c>
      <c r="CR344">
        <v>13.19</v>
      </c>
      <c r="CS344">
        <v>13.19</v>
      </c>
      <c r="CT344">
        <v>13.19</v>
      </c>
      <c r="DE344" t="s">
        <v>0</v>
      </c>
    </row>
    <row r="345" spans="1:109" hidden="1" x14ac:dyDescent="0.35">
      <c r="A345">
        <v>1024706489</v>
      </c>
      <c r="D345" t="s">
        <v>100</v>
      </c>
      <c r="E345" t="s">
        <v>120</v>
      </c>
      <c r="F345" t="s">
        <v>98</v>
      </c>
      <c r="G345" t="s">
        <v>97</v>
      </c>
      <c r="H345" t="s">
        <v>553</v>
      </c>
      <c r="J345">
        <v>356570562</v>
      </c>
      <c r="AL345">
        <v>24706489</v>
      </c>
      <c r="AX345">
        <v>11</v>
      </c>
      <c r="AY345">
        <v>639732</v>
      </c>
      <c r="AZ345">
        <v>5485282</v>
      </c>
      <c r="BA345">
        <v>56801.154534756897</v>
      </c>
      <c r="BB345" t="s">
        <v>459</v>
      </c>
      <c r="BC345" t="s">
        <v>480</v>
      </c>
      <c r="BD345" t="s">
        <v>94</v>
      </c>
      <c r="BE345" t="s">
        <v>457</v>
      </c>
      <c r="BF345" t="s">
        <v>449</v>
      </c>
      <c r="BG345">
        <v>1</v>
      </c>
      <c r="BH345" t="s">
        <v>550</v>
      </c>
      <c r="BI345">
        <v>241</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649.58232290655803</v>
      </c>
      <c r="CL345">
        <v>791.91900096664097</v>
      </c>
      <c r="CM345">
        <v>551.54999999999995</v>
      </c>
      <c r="CN345">
        <v>616.91</v>
      </c>
      <c r="CO345">
        <v>649.58000000000004</v>
      </c>
      <c r="CP345">
        <v>649.58000000000004</v>
      </c>
      <c r="CQ345">
        <v>791.92</v>
      </c>
      <c r="CR345">
        <v>791.92</v>
      </c>
      <c r="CS345">
        <v>839.22</v>
      </c>
      <c r="CT345">
        <v>839.22</v>
      </c>
      <c r="DE345" t="s">
        <v>0</v>
      </c>
    </row>
    <row r="346" spans="1:109" hidden="1" x14ac:dyDescent="0.35">
      <c r="A346">
        <v>1024706490</v>
      </c>
      <c r="D346" t="s">
        <v>100</v>
      </c>
      <c r="E346" t="s">
        <v>120</v>
      </c>
      <c r="F346" t="s">
        <v>98</v>
      </c>
      <c r="G346" t="s">
        <v>97</v>
      </c>
      <c r="H346" t="s">
        <v>552</v>
      </c>
      <c r="J346">
        <v>356570562</v>
      </c>
      <c r="AL346">
        <v>24706490</v>
      </c>
      <c r="AX346">
        <v>11</v>
      </c>
      <c r="AY346">
        <v>640302</v>
      </c>
      <c r="AZ346">
        <v>5486967</v>
      </c>
      <c r="BA346">
        <v>58820.925970029697</v>
      </c>
      <c r="BB346" t="s">
        <v>459</v>
      </c>
      <c r="BC346" t="s">
        <v>551</v>
      </c>
      <c r="BD346" t="s">
        <v>94</v>
      </c>
      <c r="BE346" t="s">
        <v>457</v>
      </c>
      <c r="BF346" t="s">
        <v>449</v>
      </c>
      <c r="BG346">
        <v>1</v>
      </c>
      <c r="BH346" t="s">
        <v>550</v>
      </c>
      <c r="BI346">
        <v>241</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0</v>
      </c>
      <c r="CG346">
        <v>0</v>
      </c>
      <c r="CH346">
        <v>0</v>
      </c>
      <c r="CI346">
        <v>0</v>
      </c>
      <c r="CJ346">
        <v>0</v>
      </c>
      <c r="CK346">
        <v>647.56232266032498</v>
      </c>
      <c r="CL346">
        <v>791.74400086539003</v>
      </c>
      <c r="CM346">
        <v>549.53</v>
      </c>
      <c r="CN346">
        <v>616.73</v>
      </c>
      <c r="CO346">
        <v>647.55999999999995</v>
      </c>
      <c r="CP346">
        <v>647.55999999999995</v>
      </c>
      <c r="CQ346">
        <v>791.74</v>
      </c>
      <c r="CR346">
        <v>791.74</v>
      </c>
      <c r="CS346">
        <v>837.03</v>
      </c>
      <c r="CT346">
        <v>837.03</v>
      </c>
      <c r="DE346" t="s">
        <v>0</v>
      </c>
    </row>
    <row r="347" spans="1:109" hidden="1" x14ac:dyDescent="0.35">
      <c r="A347">
        <v>1024706491</v>
      </c>
      <c r="D347" t="s">
        <v>100</v>
      </c>
      <c r="E347" t="s">
        <v>120</v>
      </c>
      <c r="F347" t="s">
        <v>98</v>
      </c>
      <c r="G347" t="s">
        <v>97</v>
      </c>
      <c r="H347" t="s">
        <v>549</v>
      </c>
      <c r="J347">
        <v>356563802</v>
      </c>
      <c r="AL347">
        <v>24706491</v>
      </c>
      <c r="AX347">
        <v>11</v>
      </c>
      <c r="AY347">
        <v>640189</v>
      </c>
      <c r="AZ347">
        <v>5484372</v>
      </c>
      <c r="BA347">
        <v>647.78241095639203</v>
      </c>
      <c r="BB347" t="s">
        <v>480</v>
      </c>
      <c r="BC347" t="s">
        <v>480</v>
      </c>
      <c r="BD347" t="s">
        <v>94</v>
      </c>
      <c r="BE347" t="s">
        <v>479</v>
      </c>
      <c r="BF347" t="s">
        <v>449</v>
      </c>
      <c r="BG347">
        <v>1</v>
      </c>
      <c r="BH347" t="s">
        <v>478</v>
      </c>
      <c r="BI347">
        <v>3</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17.588659478353801</v>
      </c>
      <c r="CL347">
        <v>25.254715838453201</v>
      </c>
      <c r="CM347">
        <v>16.36</v>
      </c>
      <c r="CN347">
        <v>24.01</v>
      </c>
      <c r="CO347">
        <v>17.59</v>
      </c>
      <c r="CP347">
        <v>17.59</v>
      </c>
      <c r="CQ347">
        <v>25.25</v>
      </c>
      <c r="CR347">
        <v>25.25</v>
      </c>
      <c r="CS347">
        <v>25.25</v>
      </c>
      <c r="CT347">
        <v>25.25</v>
      </c>
      <c r="DE347" t="s">
        <v>0</v>
      </c>
    </row>
    <row r="348" spans="1:109" hidden="1" x14ac:dyDescent="0.35">
      <c r="A348">
        <v>1024706492</v>
      </c>
      <c r="D348" t="s">
        <v>100</v>
      </c>
      <c r="E348" t="s">
        <v>120</v>
      </c>
      <c r="F348" t="s">
        <v>98</v>
      </c>
      <c r="G348" t="s">
        <v>97</v>
      </c>
      <c r="H348" t="s">
        <v>548</v>
      </c>
      <c r="J348">
        <v>356565783</v>
      </c>
      <c r="AL348">
        <v>24706492</v>
      </c>
      <c r="AX348">
        <v>11</v>
      </c>
      <c r="AY348">
        <v>654407</v>
      </c>
      <c r="AZ348">
        <v>5510816</v>
      </c>
      <c r="BA348">
        <v>3361.76454094156</v>
      </c>
      <c r="BB348" t="s">
        <v>329</v>
      </c>
      <c r="BC348" t="s">
        <v>547</v>
      </c>
      <c r="BD348" t="s">
        <v>94</v>
      </c>
      <c r="BE348" t="s">
        <v>23</v>
      </c>
      <c r="BF348" t="s">
        <v>449</v>
      </c>
      <c r="BG348">
        <v>1</v>
      </c>
      <c r="BH348" t="s">
        <v>473</v>
      </c>
      <c r="BI348">
        <v>82</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122.785911247066</v>
      </c>
      <c r="CL348">
        <v>164.10874378841001</v>
      </c>
      <c r="CM348">
        <v>114.81</v>
      </c>
      <c r="CN348">
        <v>135.80000000000001</v>
      </c>
      <c r="CO348">
        <v>122.79</v>
      </c>
      <c r="CP348">
        <v>122.79</v>
      </c>
      <c r="CQ348">
        <v>164.11</v>
      </c>
      <c r="CR348">
        <v>164.11</v>
      </c>
      <c r="CS348">
        <v>164.11</v>
      </c>
      <c r="CT348">
        <v>164.11</v>
      </c>
      <c r="DE348" t="s">
        <v>0</v>
      </c>
    </row>
    <row r="349" spans="1:109" hidden="1" x14ac:dyDescent="0.35">
      <c r="A349">
        <v>1024706494</v>
      </c>
      <c r="D349" t="s">
        <v>100</v>
      </c>
      <c r="E349" t="s">
        <v>120</v>
      </c>
      <c r="F349" t="s">
        <v>98</v>
      </c>
      <c r="G349" t="s">
        <v>97</v>
      </c>
      <c r="H349" t="s">
        <v>546</v>
      </c>
      <c r="J349">
        <v>356565783</v>
      </c>
      <c r="AL349">
        <v>24706494</v>
      </c>
      <c r="AX349">
        <v>11</v>
      </c>
      <c r="AY349">
        <v>656886</v>
      </c>
      <c r="AZ349">
        <v>5507366</v>
      </c>
      <c r="BA349">
        <v>7717.0615410359997</v>
      </c>
      <c r="BB349" t="s">
        <v>329</v>
      </c>
      <c r="BC349" t="s">
        <v>545</v>
      </c>
      <c r="BD349" t="s">
        <v>94</v>
      </c>
      <c r="BE349" t="s">
        <v>23</v>
      </c>
      <c r="BF349" t="s">
        <v>449</v>
      </c>
      <c r="BG349">
        <v>1</v>
      </c>
      <c r="BH349" t="s">
        <v>462</v>
      </c>
      <c r="BI349">
        <v>74</v>
      </c>
      <c r="BM349">
        <v>0</v>
      </c>
      <c r="BN349">
        <v>0</v>
      </c>
      <c r="BO349">
        <v>0</v>
      </c>
      <c r="BP349">
        <v>0</v>
      </c>
      <c r="BQ349">
        <v>0</v>
      </c>
      <c r="BR349">
        <v>0</v>
      </c>
      <c r="BS349">
        <v>0</v>
      </c>
      <c r="BT349">
        <v>0</v>
      </c>
      <c r="BU349">
        <v>0</v>
      </c>
      <c r="BV349">
        <v>0</v>
      </c>
      <c r="BW349">
        <v>0</v>
      </c>
      <c r="BX349">
        <v>0</v>
      </c>
      <c r="BY349">
        <v>0</v>
      </c>
      <c r="BZ349">
        <v>0</v>
      </c>
      <c r="CA349">
        <v>0</v>
      </c>
      <c r="CB349">
        <v>0</v>
      </c>
      <c r="CC349">
        <v>0</v>
      </c>
      <c r="CD349">
        <v>0</v>
      </c>
      <c r="CE349">
        <v>0</v>
      </c>
      <c r="CF349">
        <v>0</v>
      </c>
      <c r="CG349">
        <v>0</v>
      </c>
      <c r="CH349">
        <v>0</v>
      </c>
      <c r="CI349">
        <v>0</v>
      </c>
      <c r="CJ349">
        <v>0</v>
      </c>
      <c r="CK349">
        <v>118.45737969843501</v>
      </c>
      <c r="CL349">
        <v>159.72569468253101</v>
      </c>
      <c r="CM349">
        <v>110.48</v>
      </c>
      <c r="CN349">
        <v>131.41999999999999</v>
      </c>
      <c r="CO349">
        <v>118.46</v>
      </c>
      <c r="CP349">
        <v>118.46</v>
      </c>
      <c r="CQ349">
        <v>159.72999999999999</v>
      </c>
      <c r="CR349">
        <v>159.72999999999999</v>
      </c>
      <c r="CS349">
        <v>159.72999999999999</v>
      </c>
      <c r="CT349">
        <v>159.72999999999999</v>
      </c>
      <c r="DE349" t="s">
        <v>0</v>
      </c>
    </row>
    <row r="350" spans="1:109" hidden="1" x14ac:dyDescent="0.35">
      <c r="A350">
        <v>1024706495</v>
      </c>
      <c r="D350" t="s">
        <v>100</v>
      </c>
      <c r="E350" t="s">
        <v>120</v>
      </c>
      <c r="F350" t="s">
        <v>98</v>
      </c>
      <c r="G350" t="s">
        <v>97</v>
      </c>
      <c r="H350" t="s">
        <v>544</v>
      </c>
      <c r="J350">
        <v>356570562</v>
      </c>
      <c r="AL350">
        <v>24706495</v>
      </c>
      <c r="AX350">
        <v>11</v>
      </c>
      <c r="AY350">
        <v>649435</v>
      </c>
      <c r="AZ350">
        <v>5543262</v>
      </c>
      <c r="BA350">
        <v>132263.96301648</v>
      </c>
      <c r="BB350" t="s">
        <v>459</v>
      </c>
      <c r="BC350" t="s">
        <v>543</v>
      </c>
      <c r="BD350" t="s">
        <v>94</v>
      </c>
      <c r="BE350" t="s">
        <v>457</v>
      </c>
      <c r="BF350" t="s">
        <v>449</v>
      </c>
      <c r="BG350">
        <v>1</v>
      </c>
      <c r="BH350" t="s">
        <v>542</v>
      </c>
      <c r="BI350">
        <v>27</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0</v>
      </c>
      <c r="CJ350">
        <v>0</v>
      </c>
      <c r="CK350">
        <v>200.39275377421399</v>
      </c>
      <c r="CL350">
        <v>275.19841975179298</v>
      </c>
      <c r="CM350">
        <v>199.89</v>
      </c>
      <c r="CN350">
        <v>260.14999999999998</v>
      </c>
      <c r="CO350">
        <v>200.39</v>
      </c>
      <c r="CP350">
        <v>200.39</v>
      </c>
      <c r="CQ350">
        <v>275.2</v>
      </c>
      <c r="CR350">
        <v>275.2</v>
      </c>
      <c r="CS350">
        <v>275.20999999999998</v>
      </c>
      <c r="CT350">
        <v>275.20999999999998</v>
      </c>
      <c r="DE350" t="s">
        <v>0</v>
      </c>
    </row>
    <row r="351" spans="1:109" hidden="1" x14ac:dyDescent="0.35">
      <c r="A351">
        <v>1024706497</v>
      </c>
      <c r="D351" t="s">
        <v>100</v>
      </c>
      <c r="E351" t="s">
        <v>120</v>
      </c>
      <c r="F351" t="s">
        <v>98</v>
      </c>
      <c r="G351" t="s">
        <v>97</v>
      </c>
      <c r="H351" t="s">
        <v>541</v>
      </c>
      <c r="J351">
        <v>356563802</v>
      </c>
      <c r="AL351">
        <v>24706497</v>
      </c>
      <c r="AX351">
        <v>11</v>
      </c>
      <c r="AY351">
        <v>639896</v>
      </c>
      <c r="AZ351">
        <v>5484330</v>
      </c>
      <c r="BA351">
        <v>319.99043874330602</v>
      </c>
      <c r="BB351" t="s">
        <v>480</v>
      </c>
      <c r="BC351" t="s">
        <v>480</v>
      </c>
      <c r="BD351" t="s">
        <v>94</v>
      </c>
      <c r="BE351" t="s">
        <v>479</v>
      </c>
      <c r="BF351" t="s">
        <v>449</v>
      </c>
      <c r="BG351">
        <v>1</v>
      </c>
      <c r="BH351" t="s">
        <v>478</v>
      </c>
      <c r="BI351">
        <v>3</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0</v>
      </c>
      <c r="CJ351">
        <v>0</v>
      </c>
      <c r="CK351">
        <v>17.916659478353999</v>
      </c>
      <c r="CL351">
        <v>25.582715838453399</v>
      </c>
      <c r="CM351">
        <v>16.690000000000001</v>
      </c>
      <c r="CN351">
        <v>24.34</v>
      </c>
      <c r="CO351">
        <v>17.920000000000002</v>
      </c>
      <c r="CP351">
        <v>17.920000000000002</v>
      </c>
      <c r="CQ351">
        <v>25.58</v>
      </c>
      <c r="CR351">
        <v>25.58</v>
      </c>
      <c r="CS351">
        <v>25.58</v>
      </c>
      <c r="CT351">
        <v>25.58</v>
      </c>
      <c r="DE351" t="s">
        <v>0</v>
      </c>
    </row>
    <row r="352" spans="1:109" hidden="1" x14ac:dyDescent="0.35">
      <c r="A352">
        <v>1024706498</v>
      </c>
      <c r="D352" t="s">
        <v>100</v>
      </c>
      <c r="E352" t="s">
        <v>120</v>
      </c>
      <c r="F352" t="s">
        <v>98</v>
      </c>
      <c r="G352" t="s">
        <v>97</v>
      </c>
      <c r="H352" t="s">
        <v>540</v>
      </c>
      <c r="J352">
        <v>356570562</v>
      </c>
      <c r="AL352">
        <v>24706498</v>
      </c>
      <c r="AX352">
        <v>11</v>
      </c>
      <c r="AY352">
        <v>652352</v>
      </c>
      <c r="AZ352">
        <v>5512765</v>
      </c>
      <c r="BA352">
        <v>92072.672046470398</v>
      </c>
      <c r="BB352" t="s">
        <v>459</v>
      </c>
      <c r="BC352" t="s">
        <v>487</v>
      </c>
      <c r="BD352" t="s">
        <v>94</v>
      </c>
      <c r="BE352" t="s">
        <v>457</v>
      </c>
      <c r="BF352" t="s">
        <v>449</v>
      </c>
      <c r="BG352">
        <v>1</v>
      </c>
      <c r="BH352" t="s">
        <v>486</v>
      </c>
      <c r="BI352">
        <v>107</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c r="CH352">
        <v>0</v>
      </c>
      <c r="CI352">
        <v>0</v>
      </c>
      <c r="CJ352">
        <v>0</v>
      </c>
      <c r="CK352">
        <v>453.76565525510199</v>
      </c>
      <c r="CL352">
        <v>571.89483247392104</v>
      </c>
      <c r="CM352">
        <v>373.96</v>
      </c>
      <c r="CN352">
        <v>448.6</v>
      </c>
      <c r="CO352">
        <v>453.77</v>
      </c>
      <c r="CP352">
        <v>453.77</v>
      </c>
      <c r="CQ352">
        <v>571.89</v>
      </c>
      <c r="CR352">
        <v>571.89</v>
      </c>
      <c r="CS352">
        <v>578.96</v>
      </c>
      <c r="CT352">
        <v>578.96</v>
      </c>
      <c r="DE352" t="s">
        <v>0</v>
      </c>
    </row>
    <row r="353" spans="1:109" hidden="1" x14ac:dyDescent="0.35">
      <c r="A353">
        <v>1024706499</v>
      </c>
      <c r="D353" t="s">
        <v>100</v>
      </c>
      <c r="E353" t="s">
        <v>120</v>
      </c>
      <c r="F353" t="s">
        <v>98</v>
      </c>
      <c r="G353" t="s">
        <v>97</v>
      </c>
      <c r="H353" t="s">
        <v>401</v>
      </c>
      <c r="J353">
        <v>356570562</v>
      </c>
      <c r="AL353">
        <v>24706499</v>
      </c>
      <c r="AX353">
        <v>11</v>
      </c>
      <c r="AY353">
        <v>652567</v>
      </c>
      <c r="AZ353">
        <v>5527644</v>
      </c>
      <c r="BA353">
        <v>110456.958843432</v>
      </c>
      <c r="BB353" t="s">
        <v>459</v>
      </c>
      <c r="BC353" t="s">
        <v>539</v>
      </c>
      <c r="BD353" t="s">
        <v>94</v>
      </c>
      <c r="BE353" t="s">
        <v>457</v>
      </c>
      <c r="BF353" t="s">
        <v>449</v>
      </c>
      <c r="BG353">
        <v>1</v>
      </c>
      <c r="BH353" t="s">
        <v>538</v>
      </c>
      <c r="BI353">
        <v>90</v>
      </c>
      <c r="BM353">
        <v>0</v>
      </c>
      <c r="BN353">
        <v>0</v>
      </c>
      <c r="BO353">
        <v>0</v>
      </c>
      <c r="BP353">
        <v>0</v>
      </c>
      <c r="BQ353">
        <v>0</v>
      </c>
      <c r="BR353">
        <v>0</v>
      </c>
      <c r="BS353">
        <v>0</v>
      </c>
      <c r="BT353">
        <v>0</v>
      </c>
      <c r="BU353">
        <v>0</v>
      </c>
      <c r="BV353">
        <v>0</v>
      </c>
      <c r="BW353">
        <v>0</v>
      </c>
      <c r="BX353">
        <v>0</v>
      </c>
      <c r="BY353">
        <v>0</v>
      </c>
      <c r="BZ353">
        <v>0</v>
      </c>
      <c r="CA353">
        <v>0</v>
      </c>
      <c r="CB353">
        <v>0</v>
      </c>
      <c r="CC353">
        <v>0</v>
      </c>
      <c r="CD353">
        <v>0</v>
      </c>
      <c r="CE353">
        <v>0</v>
      </c>
      <c r="CF353">
        <v>0</v>
      </c>
      <c r="CG353">
        <v>0</v>
      </c>
      <c r="CH353">
        <v>0</v>
      </c>
      <c r="CI353">
        <v>0</v>
      </c>
      <c r="CJ353">
        <v>0</v>
      </c>
      <c r="CK353">
        <v>393.46305174807901</v>
      </c>
      <c r="CL353">
        <v>496.697076231202</v>
      </c>
      <c r="CM353">
        <v>328.09</v>
      </c>
      <c r="CN353">
        <v>398.11</v>
      </c>
      <c r="CO353">
        <v>393.46</v>
      </c>
      <c r="CP353">
        <v>393.46</v>
      </c>
      <c r="CQ353">
        <v>496.7</v>
      </c>
      <c r="CR353">
        <v>496.7</v>
      </c>
      <c r="CS353">
        <v>503.77</v>
      </c>
      <c r="CT353">
        <v>503.77</v>
      </c>
      <c r="DE353" t="s">
        <v>0</v>
      </c>
    </row>
    <row r="354" spans="1:109" hidden="1" x14ac:dyDescent="0.35">
      <c r="A354">
        <v>1024706501</v>
      </c>
      <c r="D354" t="s">
        <v>100</v>
      </c>
      <c r="E354" t="s">
        <v>120</v>
      </c>
      <c r="F354" t="s">
        <v>98</v>
      </c>
      <c r="G354" t="s">
        <v>97</v>
      </c>
      <c r="H354" t="s">
        <v>537</v>
      </c>
      <c r="J354">
        <v>356565258</v>
      </c>
      <c r="AL354">
        <v>24706501</v>
      </c>
      <c r="AX354">
        <v>11</v>
      </c>
      <c r="AY354">
        <v>652016</v>
      </c>
      <c r="AZ354">
        <v>5514704</v>
      </c>
      <c r="BA354">
        <v>1872.7029459031301</v>
      </c>
      <c r="BB354" t="s">
        <v>485</v>
      </c>
      <c r="BC354" t="s">
        <v>127</v>
      </c>
      <c r="BD354" t="s">
        <v>94</v>
      </c>
      <c r="BE354" t="s">
        <v>484</v>
      </c>
      <c r="BF354" t="s">
        <v>449</v>
      </c>
      <c r="BG354">
        <v>1</v>
      </c>
      <c r="BH354" t="s">
        <v>483</v>
      </c>
      <c r="BI354">
        <v>3</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H354">
        <v>0</v>
      </c>
      <c r="CI354">
        <v>0</v>
      </c>
      <c r="CJ354">
        <v>0</v>
      </c>
      <c r="CK354">
        <v>21.427904434591401</v>
      </c>
      <c r="CL354">
        <v>28.3561768543195</v>
      </c>
      <c r="CM354">
        <v>16.850000000000001</v>
      </c>
      <c r="CN354">
        <v>17.21</v>
      </c>
      <c r="CO354">
        <v>21.43</v>
      </c>
      <c r="CP354">
        <v>21.43</v>
      </c>
      <c r="CQ354">
        <v>28.36</v>
      </c>
      <c r="CR354">
        <v>28.36</v>
      </c>
      <c r="CS354">
        <v>28.36</v>
      </c>
      <c r="CT354">
        <v>28.36</v>
      </c>
      <c r="DE354" t="s">
        <v>0</v>
      </c>
    </row>
    <row r="355" spans="1:109" hidden="1" x14ac:dyDescent="0.35">
      <c r="A355">
        <v>1024706502</v>
      </c>
      <c r="D355" t="s">
        <v>100</v>
      </c>
      <c r="E355" t="s">
        <v>120</v>
      </c>
      <c r="F355" t="s">
        <v>98</v>
      </c>
      <c r="G355" t="s">
        <v>97</v>
      </c>
      <c r="H355" t="s">
        <v>536</v>
      </c>
      <c r="J355">
        <v>356568601</v>
      </c>
      <c r="AL355">
        <v>24706502</v>
      </c>
      <c r="AX355">
        <v>11</v>
      </c>
      <c r="AY355">
        <v>648716</v>
      </c>
      <c r="AZ355">
        <v>5543219</v>
      </c>
      <c r="BA355">
        <v>676.27559441328594</v>
      </c>
      <c r="BB355" t="s">
        <v>534</v>
      </c>
      <c r="BC355" t="s">
        <v>534</v>
      </c>
      <c r="BD355" t="s">
        <v>94</v>
      </c>
      <c r="BE355" t="s">
        <v>31</v>
      </c>
      <c r="BF355" t="s">
        <v>449</v>
      </c>
      <c r="BG355">
        <v>1</v>
      </c>
      <c r="BH355" t="s">
        <v>533</v>
      </c>
      <c r="BI355">
        <v>2</v>
      </c>
      <c r="BM355">
        <v>0</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0</v>
      </c>
      <c r="CH355">
        <v>0</v>
      </c>
      <c r="CI355">
        <v>0</v>
      </c>
      <c r="CJ355">
        <v>0</v>
      </c>
      <c r="CK355">
        <v>13.415172004577499</v>
      </c>
      <c r="CL355">
        <v>15.9962317233579</v>
      </c>
      <c r="CM355">
        <v>12.95</v>
      </c>
      <c r="CN355">
        <v>15.4</v>
      </c>
      <c r="CO355">
        <v>13.42</v>
      </c>
      <c r="CP355">
        <v>13.42</v>
      </c>
      <c r="CQ355">
        <v>16</v>
      </c>
      <c r="CR355">
        <v>16</v>
      </c>
      <c r="CS355">
        <v>16</v>
      </c>
      <c r="CT355">
        <v>16</v>
      </c>
      <c r="DE355" t="s">
        <v>0</v>
      </c>
    </row>
    <row r="356" spans="1:109" hidden="1" x14ac:dyDescent="0.35">
      <c r="A356">
        <v>1024706503</v>
      </c>
      <c r="D356" t="s">
        <v>100</v>
      </c>
      <c r="E356" t="s">
        <v>120</v>
      </c>
      <c r="F356" t="s">
        <v>98</v>
      </c>
      <c r="G356" t="s">
        <v>97</v>
      </c>
      <c r="H356" t="s">
        <v>535</v>
      </c>
      <c r="J356">
        <v>356568601</v>
      </c>
      <c r="AL356">
        <v>24706503</v>
      </c>
      <c r="AX356">
        <v>11</v>
      </c>
      <c r="AY356">
        <v>649204</v>
      </c>
      <c r="AZ356">
        <v>5543237</v>
      </c>
      <c r="BA356">
        <v>164.82378705521</v>
      </c>
      <c r="BB356" t="s">
        <v>534</v>
      </c>
      <c r="BC356" t="s">
        <v>534</v>
      </c>
      <c r="BD356" t="s">
        <v>94</v>
      </c>
      <c r="BE356" t="s">
        <v>31</v>
      </c>
      <c r="BF356" t="s">
        <v>449</v>
      </c>
      <c r="BG356">
        <v>1</v>
      </c>
      <c r="BH356" t="s">
        <v>533</v>
      </c>
      <c r="BI356">
        <v>2</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0</v>
      </c>
      <c r="CI356">
        <v>0</v>
      </c>
      <c r="CJ356">
        <v>0</v>
      </c>
      <c r="CK356">
        <v>13.926172004577399</v>
      </c>
      <c r="CL356">
        <v>16.507231723357702</v>
      </c>
      <c r="CM356">
        <v>13.46</v>
      </c>
      <c r="CN356">
        <v>15.91</v>
      </c>
      <c r="CO356">
        <v>13.93</v>
      </c>
      <c r="CP356">
        <v>13.93</v>
      </c>
      <c r="CQ356">
        <v>16.510000000000002</v>
      </c>
      <c r="CR356">
        <v>16.510000000000002</v>
      </c>
      <c r="CS356">
        <v>16.510000000000002</v>
      </c>
      <c r="CT356">
        <v>16.510000000000002</v>
      </c>
      <c r="DE356" t="s">
        <v>0</v>
      </c>
    </row>
    <row r="357" spans="1:109" hidden="1" x14ac:dyDescent="0.35">
      <c r="A357">
        <v>1024706517</v>
      </c>
      <c r="D357" t="s">
        <v>100</v>
      </c>
      <c r="E357" t="s">
        <v>99</v>
      </c>
      <c r="F357" t="s">
        <v>98</v>
      </c>
      <c r="G357" t="s">
        <v>97</v>
      </c>
      <c r="H357" t="s">
        <v>530</v>
      </c>
      <c r="J357">
        <v>356569619</v>
      </c>
      <c r="AL357">
        <v>24706517</v>
      </c>
      <c r="AX357">
        <v>11</v>
      </c>
      <c r="AY357">
        <v>658874</v>
      </c>
      <c r="AZ357">
        <v>5489474</v>
      </c>
      <c r="BA357">
        <v>6193.5700081585401</v>
      </c>
      <c r="BB357" t="s">
        <v>495</v>
      </c>
      <c r="BC357" t="s">
        <v>532</v>
      </c>
      <c r="BD357" t="s">
        <v>94</v>
      </c>
      <c r="BE357" t="s">
        <v>528</v>
      </c>
      <c r="BF357" t="s">
        <v>449</v>
      </c>
      <c r="BG357">
        <v>1</v>
      </c>
      <c r="BH357" t="s">
        <v>531</v>
      </c>
      <c r="BI357">
        <v>11</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23.295417642769699</v>
      </c>
      <c r="CL357">
        <v>35.472271513017702</v>
      </c>
      <c r="CM357">
        <v>20.92</v>
      </c>
      <c r="CN357">
        <v>28.55</v>
      </c>
      <c r="CO357">
        <v>23.3</v>
      </c>
      <c r="CP357">
        <v>23.3</v>
      </c>
      <c r="CQ357">
        <v>35.47</v>
      </c>
      <c r="CR357">
        <v>35.47</v>
      </c>
      <c r="CS357">
        <v>35.47</v>
      </c>
      <c r="CT357">
        <v>35.47</v>
      </c>
      <c r="DE357" t="s">
        <v>0</v>
      </c>
    </row>
    <row r="358" spans="1:109" hidden="1" x14ac:dyDescent="0.35">
      <c r="A358">
        <v>1024706518</v>
      </c>
      <c r="D358" t="s">
        <v>100</v>
      </c>
      <c r="E358" t="s">
        <v>99</v>
      </c>
      <c r="F358" t="s">
        <v>98</v>
      </c>
      <c r="G358" t="s">
        <v>97</v>
      </c>
      <c r="H358" t="s">
        <v>530</v>
      </c>
      <c r="J358">
        <v>356569619</v>
      </c>
      <c r="AL358">
        <v>24706518</v>
      </c>
      <c r="AX358">
        <v>11</v>
      </c>
      <c r="AY358">
        <v>659628</v>
      </c>
      <c r="AZ358">
        <v>5492258</v>
      </c>
      <c r="BA358">
        <v>2499.36049582848</v>
      </c>
      <c r="BB358" t="s">
        <v>495</v>
      </c>
      <c r="BC358" t="s">
        <v>529</v>
      </c>
      <c r="BD358" t="s">
        <v>94</v>
      </c>
      <c r="BE358" t="s">
        <v>528</v>
      </c>
      <c r="BF358" t="s">
        <v>449</v>
      </c>
      <c r="BG358">
        <v>1</v>
      </c>
      <c r="BH358" t="s">
        <v>527</v>
      </c>
      <c r="BI358">
        <v>12</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H358">
        <v>0</v>
      </c>
      <c r="CI358">
        <v>0</v>
      </c>
      <c r="CJ358">
        <v>0</v>
      </c>
      <c r="CK358">
        <v>26.949814780567099</v>
      </c>
      <c r="CL358">
        <v>40.396668650815201</v>
      </c>
      <c r="CM358">
        <v>24.57</v>
      </c>
      <c r="CN358">
        <v>33.340000000000003</v>
      </c>
      <c r="CO358">
        <v>26.95</v>
      </c>
      <c r="CP358">
        <v>26.95</v>
      </c>
      <c r="CQ358">
        <v>40.4</v>
      </c>
      <c r="CR358">
        <v>40.4</v>
      </c>
      <c r="CS358">
        <v>40.4</v>
      </c>
      <c r="CT358">
        <v>40.4</v>
      </c>
      <c r="DE358" t="s">
        <v>0</v>
      </c>
    </row>
    <row r="359" spans="1:109" hidden="1" x14ac:dyDescent="0.35">
      <c r="A359">
        <v>1024706521</v>
      </c>
      <c r="D359" t="s">
        <v>100</v>
      </c>
      <c r="E359" t="s">
        <v>120</v>
      </c>
      <c r="F359" t="s">
        <v>98</v>
      </c>
      <c r="G359" t="s">
        <v>97</v>
      </c>
      <c r="H359" t="s">
        <v>526</v>
      </c>
      <c r="J359">
        <v>356559840</v>
      </c>
      <c r="AL359">
        <v>24706521</v>
      </c>
      <c r="AX359">
        <v>11</v>
      </c>
      <c r="AY359">
        <v>655841</v>
      </c>
      <c r="AZ359">
        <v>5552837</v>
      </c>
      <c r="BA359">
        <v>621.90487372080395</v>
      </c>
      <c r="BB359" t="s">
        <v>469</v>
      </c>
      <c r="BC359" t="s">
        <v>469</v>
      </c>
      <c r="BD359" t="s">
        <v>94</v>
      </c>
      <c r="BE359" t="s">
        <v>468</v>
      </c>
      <c r="BF359" t="s">
        <v>449</v>
      </c>
      <c r="BG359">
        <v>1</v>
      </c>
      <c r="BM359">
        <v>0</v>
      </c>
      <c r="BN359">
        <v>0</v>
      </c>
      <c r="BO359">
        <v>0</v>
      </c>
      <c r="BP359">
        <v>0</v>
      </c>
      <c r="BQ359">
        <v>0</v>
      </c>
      <c r="BR359">
        <v>0</v>
      </c>
      <c r="BS359">
        <v>0</v>
      </c>
      <c r="BT359">
        <v>0</v>
      </c>
      <c r="BU359">
        <v>0</v>
      </c>
      <c r="BV359">
        <v>0</v>
      </c>
      <c r="BW359">
        <v>0</v>
      </c>
      <c r="BX359">
        <v>0</v>
      </c>
      <c r="BY359">
        <v>0</v>
      </c>
      <c r="BZ359">
        <v>0</v>
      </c>
      <c r="CA359">
        <v>0</v>
      </c>
      <c r="CB359">
        <v>0</v>
      </c>
      <c r="CC359">
        <v>0</v>
      </c>
      <c r="CD359">
        <v>0</v>
      </c>
      <c r="CE359">
        <v>0</v>
      </c>
      <c r="CF359">
        <v>0</v>
      </c>
      <c r="CG359">
        <v>0</v>
      </c>
      <c r="CH359">
        <v>0</v>
      </c>
      <c r="CI359">
        <v>0</v>
      </c>
      <c r="CJ359">
        <v>0</v>
      </c>
      <c r="CK359">
        <v>4.5210888365578503</v>
      </c>
      <c r="CL359">
        <v>5.0062937825514302</v>
      </c>
      <c r="CM359">
        <v>4.5199999999999996</v>
      </c>
      <c r="CN359">
        <v>5.01</v>
      </c>
      <c r="CO359">
        <v>4.5199999999999996</v>
      </c>
      <c r="CP359">
        <v>4.5199999999999996</v>
      </c>
      <c r="CQ359">
        <v>5.01</v>
      </c>
      <c r="CR359">
        <v>5.01</v>
      </c>
      <c r="CS359">
        <v>5.01</v>
      </c>
      <c r="CT359">
        <v>5.01</v>
      </c>
      <c r="DE359" t="s">
        <v>0</v>
      </c>
    </row>
    <row r="360" spans="1:109" hidden="1" x14ac:dyDescent="0.35">
      <c r="A360">
        <v>1024706522</v>
      </c>
      <c r="D360" t="s">
        <v>100</v>
      </c>
      <c r="E360" t="s">
        <v>120</v>
      </c>
      <c r="F360" t="s">
        <v>98</v>
      </c>
      <c r="G360" t="s">
        <v>97</v>
      </c>
      <c r="H360" t="s">
        <v>525</v>
      </c>
      <c r="J360">
        <v>356566667</v>
      </c>
      <c r="AL360">
        <v>24706522</v>
      </c>
      <c r="AX360">
        <v>11</v>
      </c>
      <c r="AY360">
        <v>663604</v>
      </c>
      <c r="AZ360">
        <v>5502736</v>
      </c>
      <c r="BA360">
        <v>4679.1837260108196</v>
      </c>
      <c r="BB360" t="s">
        <v>452</v>
      </c>
      <c r="BC360" t="s">
        <v>524</v>
      </c>
      <c r="BD360" t="s">
        <v>94</v>
      </c>
      <c r="BE360" t="s">
        <v>450</v>
      </c>
      <c r="BF360" t="s">
        <v>449</v>
      </c>
      <c r="BG360">
        <v>1</v>
      </c>
      <c r="BH360" t="s">
        <v>493</v>
      </c>
      <c r="BI360">
        <v>20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0</v>
      </c>
      <c r="CK360">
        <v>31.180013152398701</v>
      </c>
      <c r="CL360">
        <v>46.264413128866202</v>
      </c>
      <c r="CM360">
        <v>28.9</v>
      </c>
      <c r="CN360">
        <v>33.840000000000003</v>
      </c>
      <c r="CO360">
        <v>31.18</v>
      </c>
      <c r="CP360">
        <v>31.18</v>
      </c>
      <c r="CQ360">
        <v>46.26</v>
      </c>
      <c r="CR360">
        <v>46.26</v>
      </c>
      <c r="CS360">
        <v>46.26</v>
      </c>
      <c r="CT360">
        <v>46.26</v>
      </c>
      <c r="DE360" t="s">
        <v>0</v>
      </c>
    </row>
    <row r="361" spans="1:109" hidden="1" x14ac:dyDescent="0.35">
      <c r="A361">
        <v>1024706524</v>
      </c>
      <c r="D361" t="s">
        <v>100</v>
      </c>
      <c r="E361" t="s">
        <v>120</v>
      </c>
      <c r="F361" t="s">
        <v>98</v>
      </c>
      <c r="G361" t="s">
        <v>97</v>
      </c>
      <c r="H361" t="s">
        <v>523</v>
      </c>
      <c r="J361">
        <v>356570562</v>
      </c>
      <c r="AL361">
        <v>24706524</v>
      </c>
      <c r="AX361">
        <v>11</v>
      </c>
      <c r="AY361">
        <v>643920</v>
      </c>
      <c r="AZ361">
        <v>5472908</v>
      </c>
      <c r="BA361">
        <v>40993.379049554002</v>
      </c>
      <c r="BB361" t="s">
        <v>459</v>
      </c>
      <c r="BC361" t="s">
        <v>522</v>
      </c>
      <c r="BD361" t="s">
        <v>94</v>
      </c>
      <c r="BE361" t="s">
        <v>457</v>
      </c>
      <c r="BF361" t="s">
        <v>449</v>
      </c>
      <c r="BG361">
        <v>1</v>
      </c>
      <c r="BH361" t="s">
        <v>521</v>
      </c>
      <c r="BI361">
        <v>264</v>
      </c>
      <c r="BM361">
        <v>0</v>
      </c>
      <c r="BN361">
        <v>0</v>
      </c>
      <c r="BO361">
        <v>0</v>
      </c>
      <c r="BP361">
        <v>0</v>
      </c>
      <c r="BQ361">
        <v>0</v>
      </c>
      <c r="BR361">
        <v>0</v>
      </c>
      <c r="BS361">
        <v>0</v>
      </c>
      <c r="BT361">
        <v>0</v>
      </c>
      <c r="BU361">
        <v>0</v>
      </c>
      <c r="BV361">
        <v>0</v>
      </c>
      <c r="BW361">
        <v>0</v>
      </c>
      <c r="BX361">
        <v>0</v>
      </c>
      <c r="BY361">
        <v>0</v>
      </c>
      <c r="BZ361">
        <v>0</v>
      </c>
      <c r="CA361">
        <v>0</v>
      </c>
      <c r="CB361">
        <v>0</v>
      </c>
      <c r="CC361">
        <v>0</v>
      </c>
      <c r="CD361">
        <v>0</v>
      </c>
      <c r="CE361">
        <v>0</v>
      </c>
      <c r="CF361">
        <v>0</v>
      </c>
      <c r="CG361">
        <v>0</v>
      </c>
      <c r="CH361">
        <v>0</v>
      </c>
      <c r="CI361">
        <v>0</v>
      </c>
      <c r="CJ361">
        <v>0</v>
      </c>
      <c r="CK361">
        <v>701.56948793536003</v>
      </c>
      <c r="CL361">
        <v>842.93507167194002</v>
      </c>
      <c r="CM361">
        <v>600.57000000000005</v>
      </c>
      <c r="CN361">
        <v>658.34</v>
      </c>
      <c r="CO361">
        <v>701.57</v>
      </c>
      <c r="CP361">
        <v>701.57</v>
      </c>
      <c r="CQ361">
        <v>842.94</v>
      </c>
      <c r="CR361">
        <v>842.94</v>
      </c>
      <c r="CS361">
        <v>911.54</v>
      </c>
      <c r="CT361">
        <v>911.54</v>
      </c>
      <c r="DE361" t="s">
        <v>0</v>
      </c>
    </row>
    <row r="362" spans="1:109" hidden="1" x14ac:dyDescent="0.35">
      <c r="A362">
        <v>1024706525</v>
      </c>
      <c r="D362" t="s">
        <v>100</v>
      </c>
      <c r="E362" t="s">
        <v>120</v>
      </c>
      <c r="F362" t="s">
        <v>98</v>
      </c>
      <c r="G362" t="s">
        <v>97</v>
      </c>
      <c r="H362" t="s">
        <v>520</v>
      </c>
      <c r="J362">
        <v>356565783</v>
      </c>
      <c r="AL362">
        <v>24706525</v>
      </c>
      <c r="AX362">
        <v>11</v>
      </c>
      <c r="AY362">
        <v>652589</v>
      </c>
      <c r="AZ362">
        <v>5511639</v>
      </c>
      <c r="BA362">
        <v>1088.88776772799</v>
      </c>
      <c r="BB362" t="s">
        <v>329</v>
      </c>
      <c r="BC362" t="s">
        <v>329</v>
      </c>
      <c r="BD362" t="s">
        <v>94</v>
      </c>
      <c r="BE362" t="s">
        <v>23</v>
      </c>
      <c r="BF362" t="s">
        <v>449</v>
      </c>
      <c r="BG362">
        <v>1</v>
      </c>
      <c r="BH362" t="s">
        <v>473</v>
      </c>
      <c r="BI362">
        <v>82</v>
      </c>
      <c r="BM362">
        <v>0</v>
      </c>
      <c r="BN362">
        <v>0</v>
      </c>
      <c r="BO362">
        <v>0</v>
      </c>
      <c r="BP362">
        <v>0</v>
      </c>
      <c r="BQ362">
        <v>0</v>
      </c>
      <c r="BR362">
        <v>0</v>
      </c>
      <c r="BS362">
        <v>0</v>
      </c>
      <c r="BT362">
        <v>0</v>
      </c>
      <c r="BU362">
        <v>0</v>
      </c>
      <c r="BV362">
        <v>0</v>
      </c>
      <c r="BW362">
        <v>0</v>
      </c>
      <c r="BX362">
        <v>0</v>
      </c>
      <c r="BY362">
        <v>0</v>
      </c>
      <c r="BZ362">
        <v>0</v>
      </c>
      <c r="CA362">
        <v>0</v>
      </c>
      <c r="CB362">
        <v>0</v>
      </c>
      <c r="CC362">
        <v>0</v>
      </c>
      <c r="CD362">
        <v>0</v>
      </c>
      <c r="CE362">
        <v>0</v>
      </c>
      <c r="CF362">
        <v>0</v>
      </c>
      <c r="CG362">
        <v>0</v>
      </c>
      <c r="CH362">
        <v>0</v>
      </c>
      <c r="CI362">
        <v>0</v>
      </c>
      <c r="CJ362">
        <v>0</v>
      </c>
      <c r="CK362">
        <v>125.058912079669</v>
      </c>
      <c r="CL362">
        <v>166.38174462101301</v>
      </c>
      <c r="CM362">
        <v>117.09</v>
      </c>
      <c r="CN362">
        <v>138.07</v>
      </c>
      <c r="CO362">
        <v>125.06</v>
      </c>
      <c r="CP362">
        <v>125.06</v>
      </c>
      <c r="CQ362">
        <v>166.38</v>
      </c>
      <c r="CR362">
        <v>166.38</v>
      </c>
      <c r="CS362">
        <v>166.38</v>
      </c>
      <c r="CT362">
        <v>166.38</v>
      </c>
      <c r="DE362" t="s">
        <v>0</v>
      </c>
    </row>
    <row r="363" spans="1:109" hidden="1" x14ac:dyDescent="0.35">
      <c r="A363">
        <v>1024706531</v>
      </c>
      <c r="D363" t="s">
        <v>100</v>
      </c>
      <c r="E363" t="s">
        <v>99</v>
      </c>
      <c r="F363" t="s">
        <v>98</v>
      </c>
      <c r="G363" t="s">
        <v>97</v>
      </c>
      <c r="J363">
        <v>356563871</v>
      </c>
      <c r="AL363">
        <v>24706531</v>
      </c>
      <c r="AX363">
        <v>11</v>
      </c>
      <c r="AY363">
        <v>658059</v>
      </c>
      <c r="AZ363">
        <v>5529776</v>
      </c>
      <c r="BA363">
        <v>5344.3229633031297</v>
      </c>
      <c r="BB363" t="s">
        <v>96</v>
      </c>
      <c r="BC363" t="s">
        <v>517</v>
      </c>
      <c r="BD363" t="s">
        <v>94</v>
      </c>
      <c r="BE363" t="s">
        <v>93</v>
      </c>
      <c r="BF363" t="s">
        <v>449</v>
      </c>
      <c r="BG363">
        <v>1</v>
      </c>
      <c r="BH363" t="s">
        <v>482</v>
      </c>
      <c r="BI363">
        <v>16</v>
      </c>
      <c r="BM363">
        <v>0</v>
      </c>
      <c r="BN363">
        <v>0</v>
      </c>
      <c r="BO363">
        <v>0</v>
      </c>
      <c r="BP363">
        <v>0</v>
      </c>
      <c r="BQ363">
        <v>0</v>
      </c>
      <c r="BR363">
        <v>0</v>
      </c>
      <c r="BS363">
        <v>0</v>
      </c>
      <c r="BT363">
        <v>0</v>
      </c>
      <c r="BU363">
        <v>0</v>
      </c>
      <c r="BV363">
        <v>0</v>
      </c>
      <c r="BW363">
        <v>0</v>
      </c>
      <c r="BX363">
        <v>0</v>
      </c>
      <c r="BY363">
        <v>0</v>
      </c>
      <c r="BZ363">
        <v>0</v>
      </c>
      <c r="CA363">
        <v>0</v>
      </c>
      <c r="CB363">
        <v>0</v>
      </c>
      <c r="CC363">
        <v>0</v>
      </c>
      <c r="CD363">
        <v>0</v>
      </c>
      <c r="CE363">
        <v>0</v>
      </c>
      <c r="CF363">
        <v>0</v>
      </c>
      <c r="CG363">
        <v>0</v>
      </c>
      <c r="CH363">
        <v>0</v>
      </c>
      <c r="CI363">
        <v>0</v>
      </c>
      <c r="CJ363">
        <v>0</v>
      </c>
      <c r="CK363">
        <v>10.914563039754199</v>
      </c>
      <c r="CL363">
        <v>15.9372831324202</v>
      </c>
      <c r="CM363">
        <v>5.9</v>
      </c>
      <c r="CN363">
        <v>8.64</v>
      </c>
      <c r="CO363">
        <v>10.91</v>
      </c>
      <c r="CP363">
        <v>10.91</v>
      </c>
      <c r="CQ363">
        <v>15.94</v>
      </c>
      <c r="CR363">
        <v>15.94</v>
      </c>
      <c r="CS363">
        <v>15.94</v>
      </c>
      <c r="CT363">
        <v>15.94</v>
      </c>
      <c r="DE363" t="s">
        <v>0</v>
      </c>
    </row>
    <row r="364" spans="1:109" hidden="1" x14ac:dyDescent="0.35">
      <c r="A364">
        <v>1024706546</v>
      </c>
      <c r="D364" t="s">
        <v>100</v>
      </c>
      <c r="E364" t="s">
        <v>99</v>
      </c>
      <c r="F364" t="s">
        <v>98</v>
      </c>
      <c r="G364" t="s">
        <v>97</v>
      </c>
      <c r="J364">
        <v>356563871</v>
      </c>
      <c r="AL364">
        <v>24706546</v>
      </c>
      <c r="AX364">
        <v>11</v>
      </c>
      <c r="AY364">
        <v>657482</v>
      </c>
      <c r="AZ364">
        <v>5529193</v>
      </c>
      <c r="BA364">
        <v>4365.9008578770499</v>
      </c>
      <c r="BB364" t="s">
        <v>96</v>
      </c>
      <c r="BC364" t="s">
        <v>519</v>
      </c>
      <c r="BD364" t="s">
        <v>94</v>
      </c>
      <c r="BE364" t="s">
        <v>93</v>
      </c>
      <c r="BF364" t="s">
        <v>449</v>
      </c>
      <c r="BG364">
        <v>1</v>
      </c>
      <c r="BH364" t="s">
        <v>482</v>
      </c>
      <c r="BI364">
        <v>16</v>
      </c>
      <c r="BM364">
        <v>0</v>
      </c>
      <c r="BN364">
        <v>0</v>
      </c>
      <c r="BO364">
        <v>0</v>
      </c>
      <c r="BP364">
        <v>0</v>
      </c>
      <c r="BQ364">
        <v>0</v>
      </c>
      <c r="BR364">
        <v>0</v>
      </c>
      <c r="BS364">
        <v>0</v>
      </c>
      <c r="BT364">
        <v>0</v>
      </c>
      <c r="BU364">
        <v>0</v>
      </c>
      <c r="BV364">
        <v>0</v>
      </c>
      <c r="BW364">
        <v>0</v>
      </c>
      <c r="BX364">
        <v>0</v>
      </c>
      <c r="BY364">
        <v>0</v>
      </c>
      <c r="BZ364">
        <v>0</v>
      </c>
      <c r="CA364">
        <v>0</v>
      </c>
      <c r="CB364">
        <v>0</v>
      </c>
      <c r="CC364">
        <v>0</v>
      </c>
      <c r="CD364">
        <v>0</v>
      </c>
      <c r="CE364">
        <v>0</v>
      </c>
      <c r="CF364">
        <v>0</v>
      </c>
      <c r="CG364">
        <v>0</v>
      </c>
      <c r="CH364">
        <v>0</v>
      </c>
      <c r="CI364">
        <v>0</v>
      </c>
      <c r="CJ364">
        <v>0</v>
      </c>
      <c r="CK364">
        <v>11.7881357828342</v>
      </c>
      <c r="CL364">
        <v>16.845855875500199</v>
      </c>
      <c r="CM364">
        <v>6.77</v>
      </c>
      <c r="CN364">
        <v>9.5500000000000007</v>
      </c>
      <c r="CO364">
        <v>11.79</v>
      </c>
      <c r="CP364">
        <v>11.79</v>
      </c>
      <c r="CQ364">
        <v>16.850000000000001</v>
      </c>
      <c r="CR364">
        <v>16.850000000000001</v>
      </c>
      <c r="CS364">
        <v>16.850000000000001</v>
      </c>
      <c r="CT364">
        <v>16.850000000000001</v>
      </c>
      <c r="DE364" t="s">
        <v>0</v>
      </c>
    </row>
    <row r="365" spans="1:109" hidden="1" x14ac:dyDescent="0.35">
      <c r="A365">
        <v>1024706547</v>
      </c>
      <c r="D365" t="s">
        <v>100</v>
      </c>
      <c r="E365" t="s">
        <v>99</v>
      </c>
      <c r="F365" t="s">
        <v>98</v>
      </c>
      <c r="G365" t="s">
        <v>97</v>
      </c>
      <c r="J365">
        <v>356563871</v>
      </c>
      <c r="AL365">
        <v>24706547</v>
      </c>
      <c r="AX365">
        <v>11</v>
      </c>
      <c r="AY365">
        <v>657831</v>
      </c>
      <c r="AZ365">
        <v>5529418</v>
      </c>
      <c r="BA365">
        <v>4874.59768218717</v>
      </c>
      <c r="BB365" t="s">
        <v>96</v>
      </c>
      <c r="BC365" t="s">
        <v>518</v>
      </c>
      <c r="BD365" t="s">
        <v>94</v>
      </c>
      <c r="BE365" t="s">
        <v>93</v>
      </c>
      <c r="BF365" t="s">
        <v>449</v>
      </c>
      <c r="BG365">
        <v>1</v>
      </c>
      <c r="BH365" t="s">
        <v>482</v>
      </c>
      <c r="BI365">
        <v>16</v>
      </c>
      <c r="BM365">
        <v>0</v>
      </c>
      <c r="BN365">
        <v>0</v>
      </c>
      <c r="BO365">
        <v>0</v>
      </c>
      <c r="BP365">
        <v>0</v>
      </c>
      <c r="BQ365">
        <v>0</v>
      </c>
      <c r="BR365">
        <v>0</v>
      </c>
      <c r="BS365">
        <v>0</v>
      </c>
      <c r="BT365">
        <v>0</v>
      </c>
      <c r="BU365">
        <v>0</v>
      </c>
      <c r="BV365">
        <v>0</v>
      </c>
      <c r="BW365">
        <v>0</v>
      </c>
      <c r="BX365">
        <v>0</v>
      </c>
      <c r="BY365">
        <v>0</v>
      </c>
      <c r="BZ365">
        <v>0</v>
      </c>
      <c r="CA365">
        <v>0</v>
      </c>
      <c r="CB365">
        <v>0</v>
      </c>
      <c r="CC365">
        <v>0</v>
      </c>
      <c r="CD365">
        <v>0</v>
      </c>
      <c r="CE365">
        <v>0</v>
      </c>
      <c r="CF365">
        <v>0</v>
      </c>
      <c r="CG365">
        <v>0</v>
      </c>
      <c r="CH365">
        <v>0</v>
      </c>
      <c r="CI365">
        <v>0</v>
      </c>
      <c r="CJ365">
        <v>0</v>
      </c>
      <c r="CK365">
        <v>11.279135208982201</v>
      </c>
      <c r="CL365">
        <v>16.3368553016482</v>
      </c>
      <c r="CM365">
        <v>6.26</v>
      </c>
      <c r="CN365">
        <v>9.0399999999999991</v>
      </c>
      <c r="CO365">
        <v>11.28</v>
      </c>
      <c r="CP365">
        <v>11.28</v>
      </c>
      <c r="CQ365">
        <v>16.34</v>
      </c>
      <c r="CR365">
        <v>16.34</v>
      </c>
      <c r="CS365">
        <v>16.34</v>
      </c>
      <c r="CT365">
        <v>16.34</v>
      </c>
      <c r="DE365" t="s">
        <v>0</v>
      </c>
    </row>
    <row r="366" spans="1:109" hidden="1" x14ac:dyDescent="0.35">
      <c r="A366">
        <v>1024706548</v>
      </c>
      <c r="D366" t="s">
        <v>100</v>
      </c>
      <c r="E366" t="s">
        <v>99</v>
      </c>
      <c r="F366" t="s">
        <v>98</v>
      </c>
      <c r="G366" t="s">
        <v>97</v>
      </c>
      <c r="J366">
        <v>356563871</v>
      </c>
      <c r="AL366">
        <v>24706548</v>
      </c>
      <c r="AX366">
        <v>11</v>
      </c>
      <c r="AY366">
        <v>657559</v>
      </c>
      <c r="AZ366">
        <v>5529198</v>
      </c>
      <c r="BA366">
        <v>4463.2346172748603</v>
      </c>
      <c r="BB366" t="s">
        <v>96</v>
      </c>
      <c r="BC366" t="s">
        <v>518</v>
      </c>
      <c r="BD366" t="s">
        <v>94</v>
      </c>
      <c r="BE366" t="s">
        <v>93</v>
      </c>
      <c r="BF366" t="s">
        <v>449</v>
      </c>
      <c r="BG366">
        <v>1</v>
      </c>
      <c r="BH366" t="s">
        <v>482</v>
      </c>
      <c r="BI366">
        <v>16</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0</v>
      </c>
      <c r="CF366">
        <v>0</v>
      </c>
      <c r="CG366">
        <v>0</v>
      </c>
      <c r="CH366">
        <v>0</v>
      </c>
      <c r="CI366">
        <v>0</v>
      </c>
      <c r="CJ366">
        <v>0</v>
      </c>
      <c r="CK366">
        <v>11.691135208982301</v>
      </c>
      <c r="CL366">
        <v>16.748855301648199</v>
      </c>
      <c r="CM366">
        <v>6.67</v>
      </c>
      <c r="CN366">
        <v>9.4499999999999993</v>
      </c>
      <c r="CO366">
        <v>11.69</v>
      </c>
      <c r="CP366">
        <v>11.69</v>
      </c>
      <c r="CQ366">
        <v>16.75</v>
      </c>
      <c r="CR366">
        <v>16.75</v>
      </c>
      <c r="CS366">
        <v>16.75</v>
      </c>
      <c r="CT366">
        <v>16.75</v>
      </c>
      <c r="DE366" t="s">
        <v>0</v>
      </c>
    </row>
    <row r="367" spans="1:109" hidden="1" x14ac:dyDescent="0.35">
      <c r="A367">
        <v>1024706550</v>
      </c>
      <c r="D367" t="s">
        <v>100</v>
      </c>
      <c r="E367" t="s">
        <v>99</v>
      </c>
      <c r="F367" t="s">
        <v>98</v>
      </c>
      <c r="G367" t="s">
        <v>97</v>
      </c>
      <c r="J367">
        <v>356563871</v>
      </c>
      <c r="AL367">
        <v>24706550</v>
      </c>
      <c r="AX367">
        <v>11</v>
      </c>
      <c r="AY367">
        <v>658516</v>
      </c>
      <c r="AZ367">
        <v>5529959</v>
      </c>
      <c r="BA367">
        <v>5864.3807772841801</v>
      </c>
      <c r="BB367" t="s">
        <v>96</v>
      </c>
      <c r="BC367" t="s">
        <v>517</v>
      </c>
      <c r="BD367" t="s">
        <v>94</v>
      </c>
      <c r="BE367" t="s">
        <v>93</v>
      </c>
      <c r="BF367" t="s">
        <v>449</v>
      </c>
      <c r="BG367">
        <v>1</v>
      </c>
      <c r="BH367" t="s">
        <v>482</v>
      </c>
      <c r="BI367">
        <v>16</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10.3945630397542</v>
      </c>
      <c r="CL367">
        <v>15.4172831324202</v>
      </c>
      <c r="CM367">
        <v>5.38</v>
      </c>
      <c r="CN367">
        <v>8.1199999999999992</v>
      </c>
      <c r="CO367">
        <v>10.39</v>
      </c>
      <c r="CP367">
        <v>10.39</v>
      </c>
      <c r="CQ367">
        <v>15.42</v>
      </c>
      <c r="CR367">
        <v>15.42</v>
      </c>
      <c r="CS367">
        <v>15.42</v>
      </c>
      <c r="CT367">
        <v>15.42</v>
      </c>
      <c r="DE367" t="s">
        <v>0</v>
      </c>
    </row>
    <row r="368" spans="1:109" hidden="1" x14ac:dyDescent="0.35">
      <c r="A368">
        <v>1024706551</v>
      </c>
      <c r="D368" t="s">
        <v>100</v>
      </c>
      <c r="E368" t="s">
        <v>99</v>
      </c>
      <c r="F368" t="s">
        <v>98</v>
      </c>
      <c r="G368" t="s">
        <v>97</v>
      </c>
      <c r="J368">
        <v>356563871</v>
      </c>
      <c r="AL368">
        <v>24706551</v>
      </c>
      <c r="AX368">
        <v>11</v>
      </c>
      <c r="AY368">
        <v>656393</v>
      </c>
      <c r="AZ368">
        <v>5529066</v>
      </c>
      <c r="BA368">
        <v>3153.1461883400898</v>
      </c>
      <c r="BB368" t="s">
        <v>96</v>
      </c>
      <c r="BC368" t="s">
        <v>516</v>
      </c>
      <c r="BD368" t="s">
        <v>94</v>
      </c>
      <c r="BE368" t="s">
        <v>93</v>
      </c>
      <c r="BF368" t="s">
        <v>449</v>
      </c>
      <c r="BG368">
        <v>1</v>
      </c>
      <c r="BH368" t="s">
        <v>482</v>
      </c>
      <c r="BI368">
        <v>16</v>
      </c>
      <c r="BM368">
        <v>0</v>
      </c>
      <c r="BN368">
        <v>0</v>
      </c>
      <c r="BO368">
        <v>0</v>
      </c>
      <c r="BP368">
        <v>0</v>
      </c>
      <c r="BQ368">
        <v>0</v>
      </c>
      <c r="BR368">
        <v>0</v>
      </c>
      <c r="BS368">
        <v>0</v>
      </c>
      <c r="BT368">
        <v>0</v>
      </c>
      <c r="BU368">
        <v>0</v>
      </c>
      <c r="BV368">
        <v>0</v>
      </c>
      <c r="BW368">
        <v>0</v>
      </c>
      <c r="BX368">
        <v>0</v>
      </c>
      <c r="BY368">
        <v>0</v>
      </c>
      <c r="BZ368">
        <v>0</v>
      </c>
      <c r="CA368">
        <v>0</v>
      </c>
      <c r="CB368">
        <v>0</v>
      </c>
      <c r="CC368">
        <v>0</v>
      </c>
      <c r="CD368">
        <v>0</v>
      </c>
      <c r="CE368">
        <v>0</v>
      </c>
      <c r="CF368">
        <v>0</v>
      </c>
      <c r="CG368">
        <v>0</v>
      </c>
      <c r="CH368">
        <v>0</v>
      </c>
      <c r="CI368">
        <v>0</v>
      </c>
      <c r="CJ368">
        <v>0</v>
      </c>
      <c r="CK368">
        <v>12.8776797632155</v>
      </c>
      <c r="CL368">
        <v>18.058855613346001</v>
      </c>
      <c r="CM368">
        <v>7.86</v>
      </c>
      <c r="CN368">
        <v>10.76</v>
      </c>
      <c r="CO368">
        <v>12.88</v>
      </c>
      <c r="CP368">
        <v>12.88</v>
      </c>
      <c r="CQ368">
        <v>18.059999999999999</v>
      </c>
      <c r="CR368">
        <v>18.059999999999999</v>
      </c>
      <c r="CS368">
        <v>18.059999999999999</v>
      </c>
      <c r="CT368">
        <v>18.059999999999999</v>
      </c>
      <c r="DE368" t="s">
        <v>0</v>
      </c>
    </row>
    <row r="369" spans="1:109" hidden="1" x14ac:dyDescent="0.35">
      <c r="A369">
        <v>1024706552</v>
      </c>
      <c r="D369" t="s">
        <v>100</v>
      </c>
      <c r="E369" t="s">
        <v>99</v>
      </c>
      <c r="F369" t="s">
        <v>98</v>
      </c>
      <c r="G369" t="s">
        <v>97</v>
      </c>
      <c r="J369">
        <v>356549331</v>
      </c>
      <c r="AL369">
        <v>24706552</v>
      </c>
      <c r="AX369">
        <v>11</v>
      </c>
      <c r="AY369">
        <v>649329</v>
      </c>
      <c r="AZ369">
        <v>5482645</v>
      </c>
      <c r="BA369">
        <v>2055.1335669372802</v>
      </c>
      <c r="BB369" t="s">
        <v>515</v>
      </c>
      <c r="BC369" t="s">
        <v>514</v>
      </c>
      <c r="BD369" t="s">
        <v>94</v>
      </c>
      <c r="BE369" t="s">
        <v>513</v>
      </c>
      <c r="BF369" t="s">
        <v>449</v>
      </c>
      <c r="BG369">
        <v>1</v>
      </c>
      <c r="BH369" t="s">
        <v>512</v>
      </c>
      <c r="BI369">
        <v>2</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0</v>
      </c>
      <c r="CH369">
        <v>0</v>
      </c>
      <c r="CI369">
        <v>0</v>
      </c>
      <c r="CJ369">
        <v>0</v>
      </c>
      <c r="CK369">
        <v>3.2905673389347299</v>
      </c>
      <c r="CL369">
        <v>3.78741748359259</v>
      </c>
      <c r="CM369">
        <v>2.06</v>
      </c>
      <c r="CN369">
        <v>2.56</v>
      </c>
      <c r="CO369">
        <v>3.29</v>
      </c>
      <c r="CP369">
        <v>3.29</v>
      </c>
      <c r="CQ369">
        <v>3.79</v>
      </c>
      <c r="CR369">
        <v>3.79</v>
      </c>
      <c r="CS369">
        <v>3.79</v>
      </c>
      <c r="CT369">
        <v>3.79</v>
      </c>
      <c r="DE369" t="s">
        <v>0</v>
      </c>
    </row>
    <row r="370" spans="1:109" hidden="1" x14ac:dyDescent="0.35">
      <c r="A370">
        <v>1024706553</v>
      </c>
      <c r="D370" t="s">
        <v>100</v>
      </c>
      <c r="E370" t="s">
        <v>99</v>
      </c>
      <c r="F370" t="s">
        <v>98</v>
      </c>
      <c r="G370" t="s">
        <v>97</v>
      </c>
      <c r="J370">
        <v>356563871</v>
      </c>
      <c r="AL370">
        <v>24706553</v>
      </c>
      <c r="AX370">
        <v>11</v>
      </c>
      <c r="AY370">
        <v>656530</v>
      </c>
      <c r="AZ370">
        <v>5529121</v>
      </c>
      <c r="BA370">
        <v>3355.8295455043899</v>
      </c>
      <c r="BB370" t="s">
        <v>96</v>
      </c>
      <c r="BC370" t="s">
        <v>511</v>
      </c>
      <c r="BD370" t="s">
        <v>94</v>
      </c>
      <c r="BE370" t="s">
        <v>93</v>
      </c>
      <c r="BF370" t="s">
        <v>449</v>
      </c>
      <c r="BG370">
        <v>1</v>
      </c>
      <c r="BH370" t="s">
        <v>482</v>
      </c>
      <c r="BI370">
        <v>16</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12.674679724163999</v>
      </c>
      <c r="CL370">
        <v>17.855855574294502</v>
      </c>
      <c r="CM370">
        <v>7.66</v>
      </c>
      <c r="CN370">
        <v>10.56</v>
      </c>
      <c r="CO370">
        <v>12.67</v>
      </c>
      <c r="CP370">
        <v>12.67</v>
      </c>
      <c r="CQ370">
        <v>17.86</v>
      </c>
      <c r="CR370">
        <v>17.86</v>
      </c>
      <c r="CS370">
        <v>17.86</v>
      </c>
      <c r="CT370">
        <v>17.86</v>
      </c>
      <c r="DE370" t="s">
        <v>0</v>
      </c>
    </row>
    <row r="371" spans="1:109" hidden="1" x14ac:dyDescent="0.35">
      <c r="A371">
        <v>1024706557</v>
      </c>
      <c r="D371" t="s">
        <v>100</v>
      </c>
      <c r="E371" t="s">
        <v>99</v>
      </c>
      <c r="F371" t="s">
        <v>98</v>
      </c>
      <c r="G371" t="s">
        <v>97</v>
      </c>
      <c r="J371">
        <v>356570562</v>
      </c>
      <c r="AL371">
        <v>24706557</v>
      </c>
      <c r="AX371">
        <v>11</v>
      </c>
      <c r="AY371">
        <v>649493</v>
      </c>
      <c r="AZ371">
        <v>5537510</v>
      </c>
      <c r="BA371">
        <v>124813.595131921</v>
      </c>
      <c r="BB371" t="s">
        <v>459</v>
      </c>
      <c r="BC371" t="s">
        <v>510</v>
      </c>
      <c r="BD371" t="s">
        <v>94</v>
      </c>
      <c r="BE371" t="s">
        <v>457</v>
      </c>
      <c r="BF371" t="s">
        <v>449</v>
      </c>
      <c r="BG371">
        <v>1</v>
      </c>
      <c r="BH371" t="s">
        <v>503</v>
      </c>
      <c r="BI371">
        <v>32</v>
      </c>
      <c r="BM371">
        <v>0</v>
      </c>
      <c r="BN371">
        <v>0</v>
      </c>
      <c r="BO371">
        <v>0</v>
      </c>
      <c r="BP371">
        <v>0</v>
      </c>
      <c r="BQ371">
        <v>0</v>
      </c>
      <c r="BR371">
        <v>0</v>
      </c>
      <c r="BS371">
        <v>0</v>
      </c>
      <c r="BT371">
        <v>0</v>
      </c>
      <c r="BU371">
        <v>0</v>
      </c>
      <c r="BV371">
        <v>0</v>
      </c>
      <c r="BW371">
        <v>0</v>
      </c>
      <c r="BX371">
        <v>0</v>
      </c>
      <c r="BY371">
        <v>0</v>
      </c>
      <c r="BZ371">
        <v>0</v>
      </c>
      <c r="CA371">
        <v>0</v>
      </c>
      <c r="CB371">
        <v>0</v>
      </c>
      <c r="CC371">
        <v>0</v>
      </c>
      <c r="CD371">
        <v>0</v>
      </c>
      <c r="CE371">
        <v>0</v>
      </c>
      <c r="CF371">
        <v>0</v>
      </c>
      <c r="CG371">
        <v>0</v>
      </c>
      <c r="CH371">
        <v>0</v>
      </c>
      <c r="CI371">
        <v>0</v>
      </c>
      <c r="CJ371">
        <v>0</v>
      </c>
      <c r="CK371">
        <v>210.51921627609499</v>
      </c>
      <c r="CL371">
        <v>289.39902894054302</v>
      </c>
      <c r="CM371">
        <v>210.02</v>
      </c>
      <c r="CN371">
        <v>273</v>
      </c>
      <c r="CO371">
        <v>210.52</v>
      </c>
      <c r="CP371">
        <v>210.52</v>
      </c>
      <c r="CQ371">
        <v>289.39999999999998</v>
      </c>
      <c r="CR371">
        <v>289.39999999999998</v>
      </c>
      <c r="CS371">
        <v>289.41000000000003</v>
      </c>
      <c r="CT371">
        <v>289.41000000000003</v>
      </c>
      <c r="DE371" t="s">
        <v>0</v>
      </c>
    </row>
    <row r="372" spans="1:109" hidden="1" x14ac:dyDescent="0.35">
      <c r="A372">
        <v>1024706596</v>
      </c>
      <c r="D372" t="s">
        <v>100</v>
      </c>
      <c r="E372" t="s">
        <v>120</v>
      </c>
      <c r="F372" t="s">
        <v>98</v>
      </c>
      <c r="G372" t="s">
        <v>97</v>
      </c>
      <c r="H372" t="s">
        <v>509</v>
      </c>
      <c r="J372">
        <v>356570562</v>
      </c>
      <c r="AL372">
        <v>24706596</v>
      </c>
      <c r="AX372">
        <v>11</v>
      </c>
      <c r="AY372">
        <v>646743</v>
      </c>
      <c r="AZ372">
        <v>5494579</v>
      </c>
      <c r="BA372">
        <v>70120.903291237104</v>
      </c>
      <c r="BB372" t="s">
        <v>459</v>
      </c>
      <c r="BC372" t="s">
        <v>508</v>
      </c>
      <c r="BD372" t="s">
        <v>94</v>
      </c>
      <c r="BE372" t="s">
        <v>457</v>
      </c>
      <c r="BF372" t="s">
        <v>449</v>
      </c>
      <c r="BG372">
        <v>1</v>
      </c>
      <c r="BH372" t="s">
        <v>507</v>
      </c>
      <c r="BI372">
        <v>213</v>
      </c>
      <c r="BM372">
        <v>0</v>
      </c>
      <c r="BN372">
        <v>0</v>
      </c>
      <c r="BO372">
        <v>0</v>
      </c>
      <c r="BP372">
        <v>0</v>
      </c>
      <c r="BQ372">
        <v>0</v>
      </c>
      <c r="BR372">
        <v>0</v>
      </c>
      <c r="BS372">
        <v>0</v>
      </c>
      <c r="BT372">
        <v>0</v>
      </c>
      <c r="BU372">
        <v>0</v>
      </c>
      <c r="BV372">
        <v>0</v>
      </c>
      <c r="BW372">
        <v>0</v>
      </c>
      <c r="BX372">
        <v>0</v>
      </c>
      <c r="BY372">
        <v>0</v>
      </c>
      <c r="BZ372">
        <v>0</v>
      </c>
      <c r="CA372">
        <v>0</v>
      </c>
      <c r="CB372">
        <v>0</v>
      </c>
      <c r="CC372">
        <v>0</v>
      </c>
      <c r="CD372">
        <v>0</v>
      </c>
      <c r="CE372">
        <v>0</v>
      </c>
      <c r="CF372">
        <v>0</v>
      </c>
      <c r="CG372">
        <v>0</v>
      </c>
      <c r="CH372">
        <v>0</v>
      </c>
      <c r="CI372">
        <v>0</v>
      </c>
      <c r="CJ372">
        <v>0</v>
      </c>
      <c r="CK372">
        <v>619.15877457573697</v>
      </c>
      <c r="CL372">
        <v>766.77346940554401</v>
      </c>
      <c r="CM372">
        <v>529.55999999999995</v>
      </c>
      <c r="CN372">
        <v>608.51</v>
      </c>
      <c r="CO372">
        <v>619.16</v>
      </c>
      <c r="CP372">
        <v>619.16</v>
      </c>
      <c r="CQ372">
        <v>766.77</v>
      </c>
      <c r="CR372">
        <v>766.77</v>
      </c>
      <c r="CS372">
        <v>796.68</v>
      </c>
      <c r="CT372">
        <v>796.68</v>
      </c>
      <c r="DE372" t="s">
        <v>0</v>
      </c>
    </row>
    <row r="373" spans="1:109" hidden="1" x14ac:dyDescent="0.35">
      <c r="A373">
        <v>1024706597</v>
      </c>
      <c r="D373" t="s">
        <v>100</v>
      </c>
      <c r="E373" t="s">
        <v>99</v>
      </c>
      <c r="F373" t="s">
        <v>98</v>
      </c>
      <c r="G373" t="s">
        <v>97</v>
      </c>
      <c r="J373">
        <v>356570562</v>
      </c>
      <c r="AL373">
        <v>24706597</v>
      </c>
      <c r="AX373">
        <v>11</v>
      </c>
      <c r="AY373">
        <v>648897</v>
      </c>
      <c r="AZ373">
        <v>5548760</v>
      </c>
      <c r="BA373">
        <v>139785.98956520899</v>
      </c>
      <c r="BB373" t="s">
        <v>459</v>
      </c>
      <c r="BC373" t="s">
        <v>461</v>
      </c>
      <c r="BD373" t="s">
        <v>94</v>
      </c>
      <c r="BE373" t="s">
        <v>457</v>
      </c>
      <c r="BF373" t="s">
        <v>449</v>
      </c>
      <c r="BG373">
        <v>1</v>
      </c>
      <c r="BH373" t="s">
        <v>460</v>
      </c>
      <c r="BI373">
        <v>19</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0</v>
      </c>
      <c r="CK373">
        <v>178.50481290009799</v>
      </c>
      <c r="CL373">
        <v>247.88834329323299</v>
      </c>
      <c r="CM373">
        <v>178.48</v>
      </c>
      <c r="CN373">
        <v>234.37</v>
      </c>
      <c r="CO373">
        <v>178.5</v>
      </c>
      <c r="CP373">
        <v>178.5</v>
      </c>
      <c r="CQ373">
        <v>247.89</v>
      </c>
      <c r="CR373">
        <v>247.89</v>
      </c>
      <c r="CS373">
        <v>247.89</v>
      </c>
      <c r="CT373">
        <v>247.89</v>
      </c>
      <c r="DE373" t="s">
        <v>0</v>
      </c>
    </row>
    <row r="374" spans="1:109" hidden="1" x14ac:dyDescent="0.35">
      <c r="A374">
        <v>1024706598</v>
      </c>
      <c r="D374" t="s">
        <v>100</v>
      </c>
      <c r="E374" t="s">
        <v>99</v>
      </c>
      <c r="F374" t="s">
        <v>98</v>
      </c>
      <c r="G374" t="s">
        <v>97</v>
      </c>
      <c r="J374">
        <v>356570562</v>
      </c>
      <c r="AL374">
        <v>24706598</v>
      </c>
      <c r="AX374">
        <v>11</v>
      </c>
      <c r="AY374">
        <v>648765</v>
      </c>
      <c r="AZ374">
        <v>5548429</v>
      </c>
      <c r="BA374">
        <v>139417.23805150299</v>
      </c>
      <c r="BB374" t="s">
        <v>459</v>
      </c>
      <c r="BC374" t="s">
        <v>461</v>
      </c>
      <c r="BD374" t="s">
        <v>94</v>
      </c>
      <c r="BE374" t="s">
        <v>457</v>
      </c>
      <c r="BF374" t="s">
        <v>449</v>
      </c>
      <c r="BG374">
        <v>1</v>
      </c>
      <c r="BH374" t="s">
        <v>460</v>
      </c>
      <c r="BI374">
        <v>19</v>
      </c>
      <c r="BM374">
        <v>0</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0</v>
      </c>
      <c r="CG374">
        <v>0</v>
      </c>
      <c r="CH374">
        <v>0</v>
      </c>
      <c r="CI374">
        <v>0</v>
      </c>
      <c r="CJ374">
        <v>0</v>
      </c>
      <c r="CK374">
        <v>178.87381290009799</v>
      </c>
      <c r="CL374">
        <v>248.25734329323299</v>
      </c>
      <c r="CM374">
        <v>178.85</v>
      </c>
      <c r="CN374">
        <v>234.74</v>
      </c>
      <c r="CO374">
        <v>178.87</v>
      </c>
      <c r="CP374">
        <v>178.87</v>
      </c>
      <c r="CQ374">
        <v>248.26</v>
      </c>
      <c r="CR374">
        <v>248.26</v>
      </c>
      <c r="CS374">
        <v>248.26</v>
      </c>
      <c r="CT374">
        <v>248.26</v>
      </c>
      <c r="DE374" t="s">
        <v>0</v>
      </c>
    </row>
    <row r="375" spans="1:109" hidden="1" x14ac:dyDescent="0.35">
      <c r="A375">
        <v>1024706599</v>
      </c>
      <c r="D375" t="s">
        <v>100</v>
      </c>
      <c r="E375" t="s">
        <v>99</v>
      </c>
      <c r="F375" t="s">
        <v>98</v>
      </c>
      <c r="G375" t="s">
        <v>97</v>
      </c>
      <c r="J375">
        <v>356570562</v>
      </c>
      <c r="AL375">
        <v>24706599</v>
      </c>
      <c r="AX375">
        <v>11</v>
      </c>
      <c r="AY375">
        <v>648817</v>
      </c>
      <c r="AZ375">
        <v>5548577</v>
      </c>
      <c r="BA375">
        <v>139578.64522953401</v>
      </c>
      <c r="BB375" t="s">
        <v>459</v>
      </c>
      <c r="BC375" t="s">
        <v>461</v>
      </c>
      <c r="BD375" t="s">
        <v>94</v>
      </c>
      <c r="BE375" t="s">
        <v>457</v>
      </c>
      <c r="BF375" t="s">
        <v>449</v>
      </c>
      <c r="BG375">
        <v>1</v>
      </c>
      <c r="BH375" t="s">
        <v>460</v>
      </c>
      <c r="BI375">
        <v>19</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H375">
        <v>0</v>
      </c>
      <c r="CI375">
        <v>0</v>
      </c>
      <c r="CJ375">
        <v>0</v>
      </c>
      <c r="CK375">
        <v>178.71181290009801</v>
      </c>
      <c r="CL375">
        <v>248.09534329323299</v>
      </c>
      <c r="CM375">
        <v>178.69</v>
      </c>
      <c r="CN375">
        <v>234.57</v>
      </c>
      <c r="CO375">
        <v>178.71</v>
      </c>
      <c r="CP375">
        <v>178.71</v>
      </c>
      <c r="CQ375">
        <v>248.1</v>
      </c>
      <c r="CR375">
        <v>248.1</v>
      </c>
      <c r="CS375">
        <v>248.1</v>
      </c>
      <c r="CT375">
        <v>248.1</v>
      </c>
      <c r="DE375" t="s">
        <v>0</v>
      </c>
    </row>
    <row r="376" spans="1:109" hidden="1" x14ac:dyDescent="0.35">
      <c r="A376">
        <v>1024706616</v>
      </c>
      <c r="D376" t="s">
        <v>100</v>
      </c>
      <c r="E376" t="s">
        <v>99</v>
      </c>
      <c r="F376" t="s">
        <v>98</v>
      </c>
      <c r="G376" t="s">
        <v>97</v>
      </c>
      <c r="J376">
        <v>356568903</v>
      </c>
      <c r="AL376">
        <v>24706616</v>
      </c>
      <c r="AX376">
        <v>11</v>
      </c>
      <c r="AY376">
        <v>650916</v>
      </c>
      <c r="AZ376">
        <v>5561176</v>
      </c>
      <c r="BA376">
        <v>55388.833904952102</v>
      </c>
      <c r="BB376" t="s">
        <v>322</v>
      </c>
      <c r="BC376" t="s">
        <v>506</v>
      </c>
      <c r="BD376" t="s">
        <v>94</v>
      </c>
      <c r="BE376" t="s">
        <v>71</v>
      </c>
      <c r="BF376" t="s">
        <v>449</v>
      </c>
      <c r="BG376">
        <v>1</v>
      </c>
      <c r="BH376" t="s">
        <v>505</v>
      </c>
      <c r="BI376">
        <v>13</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c r="CH376">
        <v>0</v>
      </c>
      <c r="CI376">
        <v>0</v>
      </c>
      <c r="CJ376">
        <v>0</v>
      </c>
      <c r="CK376">
        <v>28.0722088683879</v>
      </c>
      <c r="CL376">
        <v>32.198813449163502</v>
      </c>
      <c r="CM376">
        <v>1.56</v>
      </c>
      <c r="CN376">
        <v>1.56</v>
      </c>
      <c r="CO376">
        <v>28.07</v>
      </c>
      <c r="CP376">
        <v>28.07</v>
      </c>
      <c r="CQ376">
        <v>32.200000000000003</v>
      </c>
      <c r="CR376">
        <v>32.200000000000003</v>
      </c>
      <c r="CS376">
        <v>32.65</v>
      </c>
      <c r="CT376">
        <v>32.65</v>
      </c>
      <c r="DE376" t="s">
        <v>0</v>
      </c>
    </row>
    <row r="377" spans="1:109" hidden="1" x14ac:dyDescent="0.35">
      <c r="A377">
        <v>1024706646</v>
      </c>
      <c r="D377" t="s">
        <v>100</v>
      </c>
      <c r="E377" t="s">
        <v>99</v>
      </c>
      <c r="F377" t="s">
        <v>98</v>
      </c>
      <c r="G377" t="s">
        <v>97</v>
      </c>
      <c r="J377">
        <v>356570562</v>
      </c>
      <c r="AL377">
        <v>24706646</v>
      </c>
      <c r="AX377">
        <v>11</v>
      </c>
      <c r="AY377">
        <v>649023</v>
      </c>
      <c r="AZ377">
        <v>5538746</v>
      </c>
      <c r="BA377">
        <v>126351.133290732</v>
      </c>
      <c r="BB377" t="s">
        <v>459</v>
      </c>
      <c r="BC377" t="s">
        <v>504</v>
      </c>
      <c r="BD377" t="s">
        <v>94</v>
      </c>
      <c r="BE377" t="s">
        <v>457</v>
      </c>
      <c r="BF377" t="s">
        <v>449</v>
      </c>
      <c r="BG377">
        <v>1</v>
      </c>
      <c r="BH377" t="s">
        <v>503</v>
      </c>
      <c r="BI377">
        <v>32</v>
      </c>
      <c r="BM377">
        <v>0</v>
      </c>
      <c r="BN377">
        <v>0</v>
      </c>
      <c r="BO377">
        <v>0</v>
      </c>
      <c r="BP377">
        <v>0</v>
      </c>
      <c r="BQ377">
        <v>0</v>
      </c>
      <c r="BR377">
        <v>0</v>
      </c>
      <c r="BS377">
        <v>0</v>
      </c>
      <c r="BT377">
        <v>0</v>
      </c>
      <c r="BU377">
        <v>0</v>
      </c>
      <c r="BV377">
        <v>0</v>
      </c>
      <c r="BW377">
        <v>0</v>
      </c>
      <c r="BX377">
        <v>0</v>
      </c>
      <c r="BY377">
        <v>0</v>
      </c>
      <c r="BZ377">
        <v>0</v>
      </c>
      <c r="CA377">
        <v>0</v>
      </c>
      <c r="CB377">
        <v>0</v>
      </c>
      <c r="CC377">
        <v>0</v>
      </c>
      <c r="CD377">
        <v>0</v>
      </c>
      <c r="CE377">
        <v>0</v>
      </c>
      <c r="CF377">
        <v>0</v>
      </c>
      <c r="CG377">
        <v>0</v>
      </c>
      <c r="CH377">
        <v>0</v>
      </c>
      <c r="CI377">
        <v>0</v>
      </c>
      <c r="CJ377">
        <v>0</v>
      </c>
      <c r="CK377">
        <v>208.572357677707</v>
      </c>
      <c r="CL377">
        <v>287.452170342155</v>
      </c>
      <c r="CM377">
        <v>208.07</v>
      </c>
      <c r="CN377">
        <v>271.06</v>
      </c>
      <c r="CO377">
        <v>208.57</v>
      </c>
      <c r="CP377">
        <v>208.57</v>
      </c>
      <c r="CQ377">
        <v>287.45</v>
      </c>
      <c r="CR377">
        <v>287.45</v>
      </c>
      <c r="CS377">
        <v>287.47000000000003</v>
      </c>
      <c r="CT377">
        <v>287.47000000000003</v>
      </c>
      <c r="DE377" t="s">
        <v>0</v>
      </c>
    </row>
    <row r="378" spans="1:109" hidden="1" x14ac:dyDescent="0.35">
      <c r="A378">
        <v>1024706648</v>
      </c>
      <c r="D378" t="s">
        <v>100</v>
      </c>
      <c r="E378" t="s">
        <v>99</v>
      </c>
      <c r="F378" t="s">
        <v>98</v>
      </c>
      <c r="G378" t="s">
        <v>97</v>
      </c>
      <c r="H378" t="s">
        <v>502</v>
      </c>
      <c r="J378">
        <v>356570562</v>
      </c>
      <c r="AL378">
        <v>24706648</v>
      </c>
      <c r="AX378">
        <v>11</v>
      </c>
      <c r="AY378">
        <v>637651</v>
      </c>
      <c r="AZ378">
        <v>5462188</v>
      </c>
      <c r="BA378">
        <v>23798.288055328099</v>
      </c>
      <c r="BB378" t="s">
        <v>459</v>
      </c>
      <c r="BC378" t="s">
        <v>501</v>
      </c>
      <c r="BD378" t="s">
        <v>94</v>
      </c>
      <c r="BE378" t="s">
        <v>457</v>
      </c>
      <c r="BF378" t="s">
        <v>449</v>
      </c>
      <c r="BG378">
        <v>1</v>
      </c>
      <c r="BH378" t="s">
        <v>476</v>
      </c>
      <c r="BI378">
        <v>281</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0</v>
      </c>
      <c r="CG378">
        <v>0</v>
      </c>
      <c r="CH378">
        <v>0</v>
      </c>
      <c r="CI378">
        <v>0</v>
      </c>
      <c r="CJ378">
        <v>0</v>
      </c>
      <c r="CK378">
        <v>732.07680695331999</v>
      </c>
      <c r="CL378">
        <v>861.17975055608099</v>
      </c>
      <c r="CM378">
        <v>628.9</v>
      </c>
      <c r="CN378">
        <v>670.38</v>
      </c>
      <c r="CO378">
        <v>732.08</v>
      </c>
      <c r="CP378">
        <v>732.08</v>
      </c>
      <c r="CQ378">
        <v>861.18</v>
      </c>
      <c r="CR378">
        <v>861.18</v>
      </c>
      <c r="CS378">
        <v>948.35</v>
      </c>
      <c r="CT378">
        <v>948.35</v>
      </c>
      <c r="DE378" t="s">
        <v>0</v>
      </c>
    </row>
    <row r="379" spans="1:109" hidden="1" x14ac:dyDescent="0.35">
      <c r="A379">
        <v>1024706651</v>
      </c>
      <c r="D379" t="s">
        <v>100</v>
      </c>
      <c r="E379" t="s">
        <v>99</v>
      </c>
      <c r="F379" t="s">
        <v>98</v>
      </c>
      <c r="G379" t="s">
        <v>97</v>
      </c>
      <c r="J379">
        <v>356568903</v>
      </c>
      <c r="AL379">
        <v>24706651</v>
      </c>
      <c r="AX379">
        <v>11</v>
      </c>
      <c r="AY379">
        <v>652125</v>
      </c>
      <c r="AZ379">
        <v>5558622</v>
      </c>
      <c r="BA379">
        <v>51794.591101741004</v>
      </c>
      <c r="BB379" t="s">
        <v>322</v>
      </c>
      <c r="BC379" t="s">
        <v>500</v>
      </c>
      <c r="BD379" t="s">
        <v>94</v>
      </c>
      <c r="BE379" t="s">
        <v>71</v>
      </c>
      <c r="BF379" t="s">
        <v>449</v>
      </c>
      <c r="BG379">
        <v>1</v>
      </c>
      <c r="BH379" t="s">
        <v>499</v>
      </c>
      <c r="BI379">
        <v>14</v>
      </c>
      <c r="BM379">
        <v>0</v>
      </c>
      <c r="BN379">
        <v>0</v>
      </c>
      <c r="BO379">
        <v>0</v>
      </c>
      <c r="BP379">
        <v>0</v>
      </c>
      <c r="BQ379">
        <v>0</v>
      </c>
      <c r="BR379">
        <v>0</v>
      </c>
      <c r="BS379">
        <v>0</v>
      </c>
      <c r="BT379">
        <v>0</v>
      </c>
      <c r="BU379">
        <v>0</v>
      </c>
      <c r="BV379">
        <v>0</v>
      </c>
      <c r="BW379">
        <v>0</v>
      </c>
      <c r="BX379">
        <v>0</v>
      </c>
      <c r="BY379">
        <v>0</v>
      </c>
      <c r="BZ379">
        <v>0</v>
      </c>
      <c r="CA379">
        <v>0</v>
      </c>
      <c r="CB379">
        <v>0</v>
      </c>
      <c r="CC379">
        <v>0</v>
      </c>
      <c r="CD379">
        <v>0</v>
      </c>
      <c r="CE379">
        <v>0</v>
      </c>
      <c r="CF379">
        <v>0</v>
      </c>
      <c r="CG379">
        <v>0</v>
      </c>
      <c r="CH379">
        <v>0</v>
      </c>
      <c r="CI379">
        <v>0</v>
      </c>
      <c r="CJ379">
        <v>0</v>
      </c>
      <c r="CK379">
        <v>31.617022067796199</v>
      </c>
      <c r="CL379">
        <v>35.792811217743598</v>
      </c>
      <c r="CM379">
        <v>5.0999999999999996</v>
      </c>
      <c r="CN379">
        <v>5.15</v>
      </c>
      <c r="CO379">
        <v>31.62</v>
      </c>
      <c r="CP379">
        <v>31.62</v>
      </c>
      <c r="CQ379">
        <v>35.79</v>
      </c>
      <c r="CR379">
        <v>35.79</v>
      </c>
      <c r="CS379">
        <v>36.25</v>
      </c>
      <c r="CT379">
        <v>36.25</v>
      </c>
      <c r="DE379" t="s">
        <v>0</v>
      </c>
    </row>
    <row r="380" spans="1:109" hidden="1" x14ac:dyDescent="0.35">
      <c r="A380">
        <v>1024706682</v>
      </c>
      <c r="D380" t="s">
        <v>100</v>
      </c>
      <c r="E380" t="s">
        <v>180</v>
      </c>
      <c r="F380" t="s">
        <v>98</v>
      </c>
      <c r="G380" t="s">
        <v>97</v>
      </c>
      <c r="I380" t="s">
        <v>7</v>
      </c>
      <c r="J380">
        <v>356563592</v>
      </c>
      <c r="AL380">
        <v>24706682</v>
      </c>
      <c r="AX380">
        <v>11</v>
      </c>
      <c r="AY380">
        <v>667517</v>
      </c>
      <c r="AZ380">
        <v>5488565</v>
      </c>
      <c r="BA380">
        <v>519.41934240801595</v>
      </c>
      <c r="BB380" t="s">
        <v>498</v>
      </c>
      <c r="BC380" t="s">
        <v>498</v>
      </c>
      <c r="BD380" t="s">
        <v>94</v>
      </c>
      <c r="BE380" t="s">
        <v>497</v>
      </c>
      <c r="BF380" t="s">
        <v>449</v>
      </c>
      <c r="BG380">
        <v>1</v>
      </c>
      <c r="BH380" t="s">
        <v>496</v>
      </c>
      <c r="BI380">
        <v>11</v>
      </c>
      <c r="BM380">
        <v>0</v>
      </c>
      <c r="BN380">
        <v>0</v>
      </c>
      <c r="BO380">
        <v>0</v>
      </c>
      <c r="BP380">
        <v>0</v>
      </c>
      <c r="BQ380">
        <v>0</v>
      </c>
      <c r="BR380">
        <v>0</v>
      </c>
      <c r="BS380">
        <v>0</v>
      </c>
      <c r="BT380">
        <v>0</v>
      </c>
      <c r="BU380">
        <v>0</v>
      </c>
      <c r="BV380">
        <v>0</v>
      </c>
      <c r="BW380">
        <v>0</v>
      </c>
      <c r="BX380">
        <v>0</v>
      </c>
      <c r="BY380">
        <v>0</v>
      </c>
      <c r="BZ380">
        <v>0</v>
      </c>
      <c r="CA380">
        <v>0</v>
      </c>
      <c r="CB380">
        <v>0</v>
      </c>
      <c r="CC380">
        <v>0</v>
      </c>
      <c r="CD380">
        <v>0</v>
      </c>
      <c r="CE380">
        <v>0</v>
      </c>
      <c r="CF380">
        <v>0</v>
      </c>
      <c r="CG380">
        <v>0</v>
      </c>
      <c r="CH380">
        <v>0</v>
      </c>
      <c r="CI380">
        <v>0</v>
      </c>
      <c r="CJ380">
        <v>0</v>
      </c>
      <c r="CK380">
        <v>5.7902877570232496</v>
      </c>
      <c r="CL380">
        <v>8.6194746765272203</v>
      </c>
      <c r="CM380">
        <v>5.79</v>
      </c>
      <c r="CN380">
        <v>7.79</v>
      </c>
      <c r="CO380">
        <v>5.79</v>
      </c>
      <c r="CP380">
        <v>5.79</v>
      </c>
      <c r="CQ380">
        <v>8.6199999999999992</v>
      </c>
      <c r="CR380">
        <v>8.6199999999999992</v>
      </c>
      <c r="CS380">
        <v>8.6199999999999992</v>
      </c>
      <c r="CT380">
        <v>8.6199999999999992</v>
      </c>
      <c r="DE380" t="s">
        <v>0</v>
      </c>
    </row>
    <row r="381" spans="1:109" hidden="1" x14ac:dyDescent="0.35">
      <c r="A381">
        <v>1024706684</v>
      </c>
      <c r="D381" t="s">
        <v>100</v>
      </c>
      <c r="E381" t="s">
        <v>180</v>
      </c>
      <c r="F381" t="s">
        <v>98</v>
      </c>
      <c r="G381" t="s">
        <v>97</v>
      </c>
      <c r="I381" t="s">
        <v>7</v>
      </c>
      <c r="J381">
        <v>356565783</v>
      </c>
      <c r="AL381">
        <v>24706684</v>
      </c>
      <c r="AX381">
        <v>11</v>
      </c>
      <c r="AY381">
        <v>659701</v>
      </c>
      <c r="AZ381">
        <v>5494226</v>
      </c>
      <c r="BA381">
        <v>25092.766805942902</v>
      </c>
      <c r="BB381" t="s">
        <v>329</v>
      </c>
      <c r="BC381" t="s">
        <v>495</v>
      </c>
      <c r="BD381" t="s">
        <v>94</v>
      </c>
      <c r="BE381" t="s">
        <v>23</v>
      </c>
      <c r="BF381" t="s">
        <v>449</v>
      </c>
      <c r="BG381">
        <v>1</v>
      </c>
      <c r="BH381" t="s">
        <v>494</v>
      </c>
      <c r="BI381">
        <v>29</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29.9747178086355</v>
      </c>
      <c r="CL381">
        <v>38.270440981887397</v>
      </c>
      <c r="CM381">
        <v>27.07</v>
      </c>
      <c r="CN381">
        <v>30.49</v>
      </c>
      <c r="CO381">
        <v>29.97</v>
      </c>
      <c r="CP381">
        <v>29.97</v>
      </c>
      <c r="CQ381">
        <v>38.270000000000003</v>
      </c>
      <c r="CR381">
        <v>38.270000000000003</v>
      </c>
      <c r="CS381">
        <v>38.270000000000003</v>
      </c>
      <c r="CT381">
        <v>38.270000000000003</v>
      </c>
      <c r="DE381" t="s">
        <v>0</v>
      </c>
    </row>
    <row r="382" spans="1:109" hidden="1" x14ac:dyDescent="0.35">
      <c r="A382">
        <v>1024706686</v>
      </c>
      <c r="D382" t="s">
        <v>100</v>
      </c>
      <c r="E382" t="s">
        <v>180</v>
      </c>
      <c r="F382" t="s">
        <v>98</v>
      </c>
      <c r="G382" t="s">
        <v>97</v>
      </c>
      <c r="I382" t="s">
        <v>7</v>
      </c>
      <c r="J382">
        <v>356566667</v>
      </c>
      <c r="AL382">
        <v>24706686</v>
      </c>
      <c r="AX382">
        <v>11</v>
      </c>
      <c r="AY382">
        <v>660535</v>
      </c>
      <c r="AZ382">
        <v>5504407</v>
      </c>
      <c r="BA382">
        <v>655.52548848537697</v>
      </c>
      <c r="BB382" t="s">
        <v>452</v>
      </c>
      <c r="BC382" t="s">
        <v>452</v>
      </c>
      <c r="BD382" t="s">
        <v>94</v>
      </c>
      <c r="BE382" t="s">
        <v>450</v>
      </c>
      <c r="BF382" t="s">
        <v>449</v>
      </c>
      <c r="BG382">
        <v>1</v>
      </c>
      <c r="BH382" t="s">
        <v>493</v>
      </c>
      <c r="BI382">
        <v>20</v>
      </c>
      <c r="BM382">
        <v>0</v>
      </c>
      <c r="BN382">
        <v>0</v>
      </c>
      <c r="BO382">
        <v>0</v>
      </c>
      <c r="BP382">
        <v>0</v>
      </c>
      <c r="BQ382">
        <v>0</v>
      </c>
      <c r="BR382">
        <v>0</v>
      </c>
      <c r="BS382">
        <v>0</v>
      </c>
      <c r="BT382">
        <v>0</v>
      </c>
      <c r="BU382">
        <v>0</v>
      </c>
      <c r="BV382">
        <v>0</v>
      </c>
      <c r="BW382">
        <v>0</v>
      </c>
      <c r="BX382">
        <v>0</v>
      </c>
      <c r="BY382">
        <v>0</v>
      </c>
      <c r="BZ382">
        <v>0</v>
      </c>
      <c r="CA382">
        <v>0</v>
      </c>
      <c r="CB382">
        <v>0</v>
      </c>
      <c r="CC382">
        <v>0</v>
      </c>
      <c r="CD382">
        <v>0</v>
      </c>
      <c r="CE382">
        <v>0</v>
      </c>
      <c r="CF382">
        <v>0</v>
      </c>
      <c r="CG382">
        <v>0</v>
      </c>
      <c r="CH382">
        <v>0</v>
      </c>
      <c r="CI382">
        <v>0</v>
      </c>
      <c r="CJ382">
        <v>0</v>
      </c>
      <c r="CK382">
        <v>35.2030110281313</v>
      </c>
      <c r="CL382">
        <v>50.287411004598901</v>
      </c>
      <c r="CM382">
        <v>32.92</v>
      </c>
      <c r="CN382">
        <v>37.86</v>
      </c>
      <c r="CO382">
        <v>35.200000000000003</v>
      </c>
      <c r="CP382">
        <v>35.200000000000003</v>
      </c>
      <c r="CQ382">
        <v>50.29</v>
      </c>
      <c r="CR382">
        <v>50.29</v>
      </c>
      <c r="CS382">
        <v>50.29</v>
      </c>
      <c r="CT382">
        <v>50.29</v>
      </c>
      <c r="DE382" t="s">
        <v>0</v>
      </c>
    </row>
    <row r="383" spans="1:109" hidden="1" x14ac:dyDescent="0.35">
      <c r="A383">
        <v>1024706687</v>
      </c>
      <c r="D383" t="s">
        <v>100</v>
      </c>
      <c r="E383" t="s">
        <v>180</v>
      </c>
      <c r="F383" t="s">
        <v>98</v>
      </c>
      <c r="G383" t="s">
        <v>97</v>
      </c>
      <c r="I383" t="s">
        <v>7</v>
      </c>
      <c r="J383">
        <v>356565783</v>
      </c>
      <c r="AL383">
        <v>24706687</v>
      </c>
      <c r="AX383">
        <v>11</v>
      </c>
      <c r="AY383">
        <v>660424</v>
      </c>
      <c r="AZ383">
        <v>5503678</v>
      </c>
      <c r="BA383">
        <v>13795.8941273824</v>
      </c>
      <c r="BB383" t="s">
        <v>329</v>
      </c>
      <c r="BC383" t="s">
        <v>492</v>
      </c>
      <c r="BD383" t="s">
        <v>94</v>
      </c>
      <c r="BE383" t="s">
        <v>23</v>
      </c>
      <c r="BF383" t="s">
        <v>449</v>
      </c>
      <c r="BG383">
        <v>1</v>
      </c>
      <c r="BH383" t="s">
        <v>491</v>
      </c>
      <c r="BI383">
        <v>48</v>
      </c>
      <c r="BM383">
        <v>0</v>
      </c>
      <c r="BN383">
        <v>0</v>
      </c>
      <c r="BO383">
        <v>0</v>
      </c>
      <c r="BP383">
        <v>0</v>
      </c>
      <c r="BQ383">
        <v>0</v>
      </c>
      <c r="BR383">
        <v>0</v>
      </c>
      <c r="BS383">
        <v>0</v>
      </c>
      <c r="BT383">
        <v>0</v>
      </c>
      <c r="BU383">
        <v>0</v>
      </c>
      <c r="BV383">
        <v>0</v>
      </c>
      <c r="BW383">
        <v>0</v>
      </c>
      <c r="BX383">
        <v>0</v>
      </c>
      <c r="BY383">
        <v>0</v>
      </c>
      <c r="BZ383">
        <v>0</v>
      </c>
      <c r="CA383">
        <v>0</v>
      </c>
      <c r="CB383">
        <v>0</v>
      </c>
      <c r="CC383">
        <v>0</v>
      </c>
      <c r="CD383">
        <v>0</v>
      </c>
      <c r="CE383">
        <v>0</v>
      </c>
      <c r="CF383">
        <v>0</v>
      </c>
      <c r="CG383">
        <v>0</v>
      </c>
      <c r="CH383">
        <v>0</v>
      </c>
      <c r="CI383">
        <v>0</v>
      </c>
      <c r="CJ383">
        <v>0</v>
      </c>
      <c r="CK383">
        <v>75.545476591381501</v>
      </c>
      <c r="CL383">
        <v>101.63604662810501</v>
      </c>
      <c r="CM383">
        <v>70.260000000000005</v>
      </c>
      <c r="CN383">
        <v>86.16</v>
      </c>
      <c r="CO383">
        <v>75.55</v>
      </c>
      <c r="CP383">
        <v>75.55</v>
      </c>
      <c r="CQ383">
        <v>101.64</v>
      </c>
      <c r="CR383">
        <v>101.64</v>
      </c>
      <c r="CS383">
        <v>101.64</v>
      </c>
      <c r="CT383">
        <v>101.64</v>
      </c>
      <c r="DE383" t="s">
        <v>0</v>
      </c>
    </row>
    <row r="384" spans="1:109" hidden="1" x14ac:dyDescent="0.35">
      <c r="A384">
        <v>1024706688</v>
      </c>
      <c r="D384" t="s">
        <v>100</v>
      </c>
      <c r="E384" t="s">
        <v>180</v>
      </c>
      <c r="F384" t="s">
        <v>98</v>
      </c>
      <c r="G384" t="s">
        <v>97</v>
      </c>
      <c r="I384" t="s">
        <v>7</v>
      </c>
      <c r="J384">
        <v>356565783</v>
      </c>
      <c r="AL384">
        <v>24706688</v>
      </c>
      <c r="AX384">
        <v>11</v>
      </c>
      <c r="AY384">
        <v>660286</v>
      </c>
      <c r="AZ384">
        <v>5504220</v>
      </c>
      <c r="BA384">
        <v>13103.034843491499</v>
      </c>
      <c r="BB384" t="s">
        <v>329</v>
      </c>
      <c r="BC384" t="s">
        <v>492</v>
      </c>
      <c r="BD384" t="s">
        <v>94</v>
      </c>
      <c r="BE384" t="s">
        <v>23</v>
      </c>
      <c r="BF384" t="s">
        <v>449</v>
      </c>
      <c r="BG384">
        <v>1</v>
      </c>
      <c r="BH384" t="s">
        <v>491</v>
      </c>
      <c r="BI384">
        <v>48</v>
      </c>
      <c r="BM384">
        <v>0</v>
      </c>
      <c r="BN384">
        <v>0</v>
      </c>
      <c r="BO384">
        <v>0</v>
      </c>
      <c r="BP384">
        <v>0</v>
      </c>
      <c r="BQ384">
        <v>0</v>
      </c>
      <c r="BR384">
        <v>0</v>
      </c>
      <c r="BS384">
        <v>0</v>
      </c>
      <c r="BT384">
        <v>0</v>
      </c>
      <c r="BU384">
        <v>0</v>
      </c>
      <c r="BV384">
        <v>0</v>
      </c>
      <c r="BW384">
        <v>0</v>
      </c>
      <c r="BX384">
        <v>0</v>
      </c>
      <c r="BY384">
        <v>0</v>
      </c>
      <c r="BZ384">
        <v>0</v>
      </c>
      <c r="CA384">
        <v>0</v>
      </c>
      <c r="CB384">
        <v>0</v>
      </c>
      <c r="CC384">
        <v>0</v>
      </c>
      <c r="CD384">
        <v>0</v>
      </c>
      <c r="CE384">
        <v>0</v>
      </c>
      <c r="CF384">
        <v>0</v>
      </c>
      <c r="CG384">
        <v>0</v>
      </c>
      <c r="CH384">
        <v>0</v>
      </c>
      <c r="CI384">
        <v>0</v>
      </c>
      <c r="CJ384">
        <v>0</v>
      </c>
      <c r="CK384">
        <v>76.238476591381499</v>
      </c>
      <c r="CL384">
        <v>102.329046628105</v>
      </c>
      <c r="CM384">
        <v>70.95</v>
      </c>
      <c r="CN384">
        <v>86.85</v>
      </c>
      <c r="CO384">
        <v>76.239999999999995</v>
      </c>
      <c r="CP384">
        <v>76.239999999999995</v>
      </c>
      <c r="CQ384">
        <v>102.33</v>
      </c>
      <c r="CR384">
        <v>102.33</v>
      </c>
      <c r="CS384">
        <v>102.33</v>
      </c>
      <c r="CT384">
        <v>102.33</v>
      </c>
      <c r="DE384" t="s">
        <v>0</v>
      </c>
    </row>
    <row r="385" spans="1:109" hidden="1" x14ac:dyDescent="0.35">
      <c r="A385">
        <v>1024706690</v>
      </c>
      <c r="D385" t="s">
        <v>100</v>
      </c>
      <c r="E385" t="s">
        <v>180</v>
      </c>
      <c r="F385" t="s">
        <v>98</v>
      </c>
      <c r="G385" t="s">
        <v>97</v>
      </c>
      <c r="I385" t="s">
        <v>7</v>
      </c>
      <c r="J385">
        <v>356551142</v>
      </c>
      <c r="AL385">
        <v>24706690</v>
      </c>
      <c r="AX385">
        <v>11</v>
      </c>
      <c r="AY385">
        <v>652515</v>
      </c>
      <c r="AZ385">
        <v>5518610</v>
      </c>
      <c r="BA385">
        <v>218.214529126706</v>
      </c>
      <c r="BB385" t="s">
        <v>265</v>
      </c>
      <c r="BC385" t="s">
        <v>265</v>
      </c>
      <c r="BD385" t="s">
        <v>94</v>
      </c>
      <c r="BE385" t="s">
        <v>264</v>
      </c>
      <c r="BF385" t="s">
        <v>449</v>
      </c>
      <c r="BG385">
        <v>1</v>
      </c>
      <c r="BH385" t="s">
        <v>490</v>
      </c>
      <c r="BI385">
        <v>5</v>
      </c>
      <c r="BM385">
        <v>0</v>
      </c>
      <c r="BN385">
        <v>0</v>
      </c>
      <c r="BO385">
        <v>0</v>
      </c>
      <c r="BP385">
        <v>0</v>
      </c>
      <c r="BQ385">
        <v>0</v>
      </c>
      <c r="BR385">
        <v>0</v>
      </c>
      <c r="BS385">
        <v>0</v>
      </c>
      <c r="BT385">
        <v>0</v>
      </c>
      <c r="BU385">
        <v>0</v>
      </c>
      <c r="BV385">
        <v>0</v>
      </c>
      <c r="BW385">
        <v>0</v>
      </c>
      <c r="BX385">
        <v>0</v>
      </c>
      <c r="BY385">
        <v>0</v>
      </c>
      <c r="BZ385">
        <v>0</v>
      </c>
      <c r="CA385">
        <v>0</v>
      </c>
      <c r="CB385">
        <v>0</v>
      </c>
      <c r="CC385">
        <v>0</v>
      </c>
      <c r="CD385">
        <v>0</v>
      </c>
      <c r="CE385">
        <v>0</v>
      </c>
      <c r="CF385">
        <v>0</v>
      </c>
      <c r="CG385">
        <v>0</v>
      </c>
      <c r="CH385">
        <v>0</v>
      </c>
      <c r="CI385">
        <v>0</v>
      </c>
      <c r="CJ385">
        <v>0</v>
      </c>
      <c r="CK385">
        <v>2.1244939088413801</v>
      </c>
      <c r="CL385">
        <v>3.5029358492549898</v>
      </c>
      <c r="CM385">
        <v>0.83</v>
      </c>
      <c r="CN385">
        <v>0.83</v>
      </c>
      <c r="CO385">
        <v>2.12</v>
      </c>
      <c r="CP385">
        <v>2.12</v>
      </c>
      <c r="CQ385">
        <v>3.5</v>
      </c>
      <c r="CR385">
        <v>3.5</v>
      </c>
      <c r="CS385">
        <v>3.5</v>
      </c>
      <c r="CT385">
        <v>3.5</v>
      </c>
      <c r="DE385" t="s">
        <v>0</v>
      </c>
    </row>
    <row r="386" spans="1:109" hidden="1" x14ac:dyDescent="0.35">
      <c r="A386">
        <v>1024706691</v>
      </c>
      <c r="D386" t="s">
        <v>100</v>
      </c>
      <c r="E386" t="s">
        <v>180</v>
      </c>
      <c r="F386" t="s">
        <v>98</v>
      </c>
      <c r="G386" t="s">
        <v>97</v>
      </c>
      <c r="I386" t="s">
        <v>7</v>
      </c>
      <c r="J386">
        <v>356570562</v>
      </c>
      <c r="AL386">
        <v>24706691</v>
      </c>
      <c r="AX386">
        <v>11</v>
      </c>
      <c r="AY386">
        <v>653061</v>
      </c>
      <c r="AZ386">
        <v>5519852</v>
      </c>
      <c r="BA386">
        <v>101249.29534253301</v>
      </c>
      <c r="BB386" t="s">
        <v>459</v>
      </c>
      <c r="BC386" t="s">
        <v>489</v>
      </c>
      <c r="BD386" t="s">
        <v>94</v>
      </c>
      <c r="BE386" t="s">
        <v>457</v>
      </c>
      <c r="BF386" t="s">
        <v>449</v>
      </c>
      <c r="BG386">
        <v>1</v>
      </c>
      <c r="BH386" t="s">
        <v>488</v>
      </c>
      <c r="BI386">
        <v>98</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0</v>
      </c>
      <c r="CH386">
        <v>0</v>
      </c>
      <c r="CI386">
        <v>0</v>
      </c>
      <c r="CJ386">
        <v>0</v>
      </c>
      <c r="CK386">
        <v>418.62538897844598</v>
      </c>
      <c r="CL386">
        <v>527.44618303042103</v>
      </c>
      <c r="CM386">
        <v>344.7</v>
      </c>
      <c r="CN386">
        <v>418.68</v>
      </c>
      <c r="CO386">
        <v>418.63</v>
      </c>
      <c r="CP386">
        <v>418.63</v>
      </c>
      <c r="CQ386">
        <v>527.45000000000005</v>
      </c>
      <c r="CR386">
        <v>527.45000000000005</v>
      </c>
      <c r="CS386">
        <v>534.52</v>
      </c>
      <c r="CT386">
        <v>534.52</v>
      </c>
      <c r="DE386" t="s">
        <v>0</v>
      </c>
    </row>
    <row r="387" spans="1:109" hidden="1" x14ac:dyDescent="0.35">
      <c r="A387">
        <v>1024706692</v>
      </c>
      <c r="D387" t="s">
        <v>100</v>
      </c>
      <c r="E387" t="s">
        <v>180</v>
      </c>
      <c r="F387" t="s">
        <v>98</v>
      </c>
      <c r="G387" t="s">
        <v>97</v>
      </c>
      <c r="I387" t="s">
        <v>7</v>
      </c>
      <c r="J387">
        <v>356570562</v>
      </c>
      <c r="AL387">
        <v>24706692</v>
      </c>
      <c r="AX387">
        <v>11</v>
      </c>
      <c r="AY387">
        <v>652457</v>
      </c>
      <c r="AZ387">
        <v>5513357</v>
      </c>
      <c r="BA387">
        <v>92676.423943527494</v>
      </c>
      <c r="BB387" t="s">
        <v>459</v>
      </c>
      <c r="BC387" t="s">
        <v>487</v>
      </c>
      <c r="BD387" t="s">
        <v>94</v>
      </c>
      <c r="BE387" t="s">
        <v>457</v>
      </c>
      <c r="BF387" t="s">
        <v>449</v>
      </c>
      <c r="BG387">
        <v>1</v>
      </c>
      <c r="BH387" t="s">
        <v>486</v>
      </c>
      <c r="BI387">
        <v>107</v>
      </c>
      <c r="BM387">
        <v>0</v>
      </c>
      <c r="BN387">
        <v>0</v>
      </c>
      <c r="BO387">
        <v>0</v>
      </c>
      <c r="BP387">
        <v>0</v>
      </c>
      <c r="BQ387">
        <v>0</v>
      </c>
      <c r="BR387">
        <v>0</v>
      </c>
      <c r="BS387">
        <v>0</v>
      </c>
      <c r="BT387">
        <v>0</v>
      </c>
      <c r="BU387">
        <v>0</v>
      </c>
      <c r="BV387">
        <v>0</v>
      </c>
      <c r="BW387">
        <v>0</v>
      </c>
      <c r="BX387">
        <v>0</v>
      </c>
      <c r="BY387">
        <v>0</v>
      </c>
      <c r="BZ387">
        <v>0</v>
      </c>
      <c r="CA387">
        <v>0</v>
      </c>
      <c r="CB387">
        <v>0</v>
      </c>
      <c r="CC387">
        <v>0</v>
      </c>
      <c r="CD387">
        <v>0</v>
      </c>
      <c r="CE387">
        <v>0</v>
      </c>
      <c r="CF387">
        <v>0</v>
      </c>
      <c r="CG387">
        <v>0</v>
      </c>
      <c r="CH387">
        <v>0</v>
      </c>
      <c r="CI387">
        <v>0</v>
      </c>
      <c r="CJ387">
        <v>0</v>
      </c>
      <c r="CK387">
        <v>453.16265525510198</v>
      </c>
      <c r="CL387">
        <v>571.29183247392098</v>
      </c>
      <c r="CM387">
        <v>373.36</v>
      </c>
      <c r="CN387">
        <v>448</v>
      </c>
      <c r="CO387">
        <v>453.16</v>
      </c>
      <c r="CP387">
        <v>453.16</v>
      </c>
      <c r="CQ387">
        <v>571.29</v>
      </c>
      <c r="CR387">
        <v>571.29</v>
      </c>
      <c r="CS387">
        <v>578.36</v>
      </c>
      <c r="CT387">
        <v>578.36</v>
      </c>
      <c r="DE387" t="s">
        <v>0</v>
      </c>
    </row>
    <row r="388" spans="1:109" hidden="1" x14ac:dyDescent="0.35">
      <c r="A388">
        <v>1024706693</v>
      </c>
      <c r="D388" t="s">
        <v>100</v>
      </c>
      <c r="E388" t="s">
        <v>180</v>
      </c>
      <c r="F388" t="s">
        <v>98</v>
      </c>
      <c r="G388" t="s">
        <v>97</v>
      </c>
      <c r="I388" t="s">
        <v>7</v>
      </c>
      <c r="J388">
        <v>356565258</v>
      </c>
      <c r="AL388">
        <v>24706693</v>
      </c>
      <c r="AX388">
        <v>11</v>
      </c>
      <c r="AY388">
        <v>652735</v>
      </c>
      <c r="AZ388">
        <v>5514736</v>
      </c>
      <c r="BA388">
        <v>1041.8735048374699</v>
      </c>
      <c r="BB388" t="s">
        <v>485</v>
      </c>
      <c r="BC388" t="s">
        <v>127</v>
      </c>
      <c r="BD388" t="s">
        <v>94</v>
      </c>
      <c r="BE388" t="s">
        <v>484</v>
      </c>
      <c r="BF388" t="s">
        <v>449</v>
      </c>
      <c r="BG388">
        <v>1</v>
      </c>
      <c r="BH388" t="s">
        <v>483</v>
      </c>
      <c r="BI388">
        <v>3</v>
      </c>
      <c r="BM388">
        <v>0</v>
      </c>
      <c r="BN388">
        <v>0</v>
      </c>
      <c r="BO388">
        <v>0</v>
      </c>
      <c r="BP388">
        <v>0</v>
      </c>
      <c r="BQ388">
        <v>0</v>
      </c>
      <c r="BR388">
        <v>0</v>
      </c>
      <c r="BS388">
        <v>0</v>
      </c>
      <c r="BT388">
        <v>0</v>
      </c>
      <c r="BU388">
        <v>0</v>
      </c>
      <c r="BV388">
        <v>0</v>
      </c>
      <c r="BW388">
        <v>0</v>
      </c>
      <c r="BX388">
        <v>0</v>
      </c>
      <c r="BY388">
        <v>0</v>
      </c>
      <c r="BZ388">
        <v>0</v>
      </c>
      <c r="CA388">
        <v>0</v>
      </c>
      <c r="CB388">
        <v>0</v>
      </c>
      <c r="CC388">
        <v>0</v>
      </c>
      <c r="CD388">
        <v>0</v>
      </c>
      <c r="CE388">
        <v>0</v>
      </c>
      <c r="CF388">
        <v>0</v>
      </c>
      <c r="CG388">
        <v>0</v>
      </c>
      <c r="CH388">
        <v>0</v>
      </c>
      <c r="CI388">
        <v>0</v>
      </c>
      <c r="CJ388">
        <v>0</v>
      </c>
      <c r="CK388">
        <v>22.2589044345914</v>
      </c>
      <c r="CL388">
        <v>29.187176854319599</v>
      </c>
      <c r="CM388">
        <v>17.68</v>
      </c>
      <c r="CN388">
        <v>18.04</v>
      </c>
      <c r="CO388">
        <v>22.26</v>
      </c>
      <c r="CP388">
        <v>22.26</v>
      </c>
      <c r="CQ388">
        <v>29.19</v>
      </c>
      <c r="CR388">
        <v>29.19</v>
      </c>
      <c r="CS388">
        <v>29.19</v>
      </c>
      <c r="CT388">
        <v>29.19</v>
      </c>
      <c r="DE388" t="s">
        <v>0</v>
      </c>
    </row>
    <row r="389" spans="1:109" hidden="1" x14ac:dyDescent="0.35">
      <c r="A389">
        <v>1024706695</v>
      </c>
      <c r="D389" t="s">
        <v>100</v>
      </c>
      <c r="E389" t="s">
        <v>180</v>
      </c>
      <c r="F389" t="s">
        <v>98</v>
      </c>
      <c r="G389" t="s">
        <v>97</v>
      </c>
      <c r="I389" t="s">
        <v>7</v>
      </c>
      <c r="J389">
        <v>356563871</v>
      </c>
      <c r="AL389">
        <v>24706695</v>
      </c>
      <c r="AX389">
        <v>11</v>
      </c>
      <c r="AY389">
        <v>654743</v>
      </c>
      <c r="AZ389">
        <v>5528931</v>
      </c>
      <c r="BA389">
        <v>1244.6975693382401</v>
      </c>
      <c r="BB389" t="s">
        <v>96</v>
      </c>
      <c r="BC389" t="s">
        <v>96</v>
      </c>
      <c r="BD389" t="s">
        <v>94</v>
      </c>
      <c r="BE389" t="s">
        <v>93</v>
      </c>
      <c r="BF389" t="s">
        <v>449</v>
      </c>
      <c r="BG389">
        <v>1</v>
      </c>
      <c r="BH389" t="s">
        <v>482</v>
      </c>
      <c r="BI389">
        <v>16</v>
      </c>
      <c r="BM389">
        <v>0</v>
      </c>
      <c r="BN389">
        <v>0</v>
      </c>
      <c r="BO389">
        <v>0</v>
      </c>
      <c r="BP389">
        <v>0</v>
      </c>
      <c r="BQ389">
        <v>0</v>
      </c>
      <c r="BR389">
        <v>0</v>
      </c>
      <c r="BS389">
        <v>0</v>
      </c>
      <c r="BT389">
        <v>0</v>
      </c>
      <c r="BU389">
        <v>0</v>
      </c>
      <c r="BV389">
        <v>0</v>
      </c>
      <c r="BW389">
        <v>0</v>
      </c>
      <c r="BX389">
        <v>0</v>
      </c>
      <c r="BY389">
        <v>0</v>
      </c>
      <c r="BZ389">
        <v>0</v>
      </c>
      <c r="CA389">
        <v>0</v>
      </c>
      <c r="CB389">
        <v>0</v>
      </c>
      <c r="CC389">
        <v>0</v>
      </c>
      <c r="CD389">
        <v>0</v>
      </c>
      <c r="CE389">
        <v>0</v>
      </c>
      <c r="CF389">
        <v>0</v>
      </c>
      <c r="CG389">
        <v>0</v>
      </c>
      <c r="CH389">
        <v>0</v>
      </c>
      <c r="CI389">
        <v>0</v>
      </c>
      <c r="CJ389">
        <v>0</v>
      </c>
      <c r="CK389">
        <v>14.7586797053137</v>
      </c>
      <c r="CL389">
        <v>19.955855555444099</v>
      </c>
      <c r="CM389">
        <v>9.74</v>
      </c>
      <c r="CN389">
        <v>12.66</v>
      </c>
      <c r="CO389">
        <v>14.76</v>
      </c>
      <c r="CP389">
        <v>14.76</v>
      </c>
      <c r="CQ389">
        <v>19.96</v>
      </c>
      <c r="CR389">
        <v>19.96</v>
      </c>
      <c r="CS389">
        <v>19.96</v>
      </c>
      <c r="CT389">
        <v>19.96</v>
      </c>
      <c r="DE389" t="s">
        <v>0</v>
      </c>
    </row>
    <row r="390" spans="1:109" hidden="1" x14ac:dyDescent="0.35">
      <c r="A390">
        <v>1024706697</v>
      </c>
      <c r="D390" t="s">
        <v>100</v>
      </c>
      <c r="E390" t="s">
        <v>180</v>
      </c>
      <c r="F390" t="s">
        <v>98</v>
      </c>
      <c r="G390" t="s">
        <v>97</v>
      </c>
      <c r="I390" t="s">
        <v>7</v>
      </c>
      <c r="J390">
        <v>356528119</v>
      </c>
      <c r="AL390">
        <v>24706697</v>
      </c>
      <c r="AX390">
        <v>11</v>
      </c>
      <c r="AY390">
        <v>653743</v>
      </c>
      <c r="AZ390">
        <v>5523388</v>
      </c>
      <c r="BA390">
        <v>474.85361014191801</v>
      </c>
      <c r="BB390" t="s">
        <v>295</v>
      </c>
      <c r="BC390" t="s">
        <v>295</v>
      </c>
      <c r="BD390" t="s">
        <v>94</v>
      </c>
      <c r="BE390" t="s">
        <v>293</v>
      </c>
      <c r="BF390" t="s">
        <v>449</v>
      </c>
      <c r="BG390">
        <v>1</v>
      </c>
      <c r="BH390" t="s">
        <v>481</v>
      </c>
      <c r="BI390">
        <v>4</v>
      </c>
      <c r="BM390">
        <v>0</v>
      </c>
      <c r="BN390">
        <v>0</v>
      </c>
      <c r="BO390">
        <v>0</v>
      </c>
      <c r="BP390">
        <v>0</v>
      </c>
      <c r="BQ390">
        <v>0</v>
      </c>
      <c r="BR390">
        <v>0</v>
      </c>
      <c r="BS390">
        <v>0</v>
      </c>
      <c r="BT390">
        <v>0</v>
      </c>
      <c r="BU390">
        <v>0</v>
      </c>
      <c r="BV390">
        <v>0</v>
      </c>
      <c r="BW390">
        <v>0</v>
      </c>
      <c r="BX390">
        <v>0</v>
      </c>
      <c r="BY390">
        <v>0</v>
      </c>
      <c r="BZ390">
        <v>0</v>
      </c>
      <c r="CA390">
        <v>0</v>
      </c>
      <c r="CB390">
        <v>0</v>
      </c>
      <c r="CC390">
        <v>0</v>
      </c>
      <c r="CD390">
        <v>0</v>
      </c>
      <c r="CE390">
        <v>0</v>
      </c>
      <c r="CF390">
        <v>0</v>
      </c>
      <c r="CG390">
        <v>0</v>
      </c>
      <c r="CH390">
        <v>0</v>
      </c>
      <c r="CI390">
        <v>0</v>
      </c>
      <c r="CJ390">
        <v>0</v>
      </c>
      <c r="CK390">
        <v>13.3805565949366</v>
      </c>
      <c r="CL390">
        <v>18.930396755484601</v>
      </c>
      <c r="CM390">
        <v>6.67</v>
      </c>
      <c r="CN390">
        <v>10.6</v>
      </c>
      <c r="CO390">
        <v>13.38</v>
      </c>
      <c r="CP390">
        <v>13.38</v>
      </c>
      <c r="CQ390">
        <v>18.93</v>
      </c>
      <c r="CR390">
        <v>18.93</v>
      </c>
      <c r="CS390">
        <v>18.93</v>
      </c>
      <c r="CT390">
        <v>18.93</v>
      </c>
      <c r="DE390" t="s">
        <v>0</v>
      </c>
    </row>
    <row r="391" spans="1:109" hidden="1" x14ac:dyDescent="0.35">
      <c r="A391">
        <v>1024706698</v>
      </c>
      <c r="D391" t="s">
        <v>100</v>
      </c>
      <c r="E391" t="s">
        <v>180</v>
      </c>
      <c r="F391" t="s">
        <v>98</v>
      </c>
      <c r="G391" t="s">
        <v>97</v>
      </c>
      <c r="I391" t="s">
        <v>7</v>
      </c>
      <c r="J391">
        <v>356563802</v>
      </c>
      <c r="AL391">
        <v>24706698</v>
      </c>
      <c r="AX391">
        <v>11</v>
      </c>
      <c r="AY391">
        <v>640139</v>
      </c>
      <c r="AZ391">
        <v>5484390</v>
      </c>
      <c r="BA391">
        <v>593.69836324885705</v>
      </c>
      <c r="BB391" t="s">
        <v>480</v>
      </c>
      <c r="BC391" t="s">
        <v>480</v>
      </c>
      <c r="BD391" t="s">
        <v>94</v>
      </c>
      <c r="BE391" t="s">
        <v>479</v>
      </c>
      <c r="BF391" t="s">
        <v>449</v>
      </c>
      <c r="BG391">
        <v>1</v>
      </c>
      <c r="BH391" t="s">
        <v>478</v>
      </c>
      <c r="BI391">
        <v>3</v>
      </c>
      <c r="BM391">
        <v>0</v>
      </c>
      <c r="BN391">
        <v>0</v>
      </c>
      <c r="BO391">
        <v>0</v>
      </c>
      <c r="BP391">
        <v>0</v>
      </c>
      <c r="BQ391">
        <v>0</v>
      </c>
      <c r="BR391">
        <v>0</v>
      </c>
      <c r="BS391">
        <v>0</v>
      </c>
      <c r="BT391">
        <v>0</v>
      </c>
      <c r="BU391">
        <v>0</v>
      </c>
      <c r="BV391">
        <v>0</v>
      </c>
      <c r="BW391">
        <v>0</v>
      </c>
      <c r="BX391">
        <v>0</v>
      </c>
      <c r="BY391">
        <v>0</v>
      </c>
      <c r="BZ391">
        <v>0</v>
      </c>
      <c r="CA391">
        <v>0</v>
      </c>
      <c r="CB391">
        <v>0</v>
      </c>
      <c r="CC391">
        <v>0</v>
      </c>
      <c r="CD391">
        <v>0</v>
      </c>
      <c r="CE391">
        <v>0</v>
      </c>
      <c r="CF391">
        <v>0</v>
      </c>
      <c r="CG391">
        <v>0</v>
      </c>
      <c r="CH391">
        <v>0</v>
      </c>
      <c r="CI391">
        <v>0</v>
      </c>
      <c r="CJ391">
        <v>0</v>
      </c>
      <c r="CK391">
        <v>17.642659478353899</v>
      </c>
      <c r="CL391">
        <v>25.3087158384532</v>
      </c>
      <c r="CM391">
        <v>16.420000000000002</v>
      </c>
      <c r="CN391">
        <v>24.06</v>
      </c>
      <c r="CO391">
        <v>17.64</v>
      </c>
      <c r="CP391">
        <v>17.64</v>
      </c>
      <c r="CQ391">
        <v>25.31</v>
      </c>
      <c r="CR391">
        <v>25.31</v>
      </c>
      <c r="CS391">
        <v>25.31</v>
      </c>
      <c r="CT391">
        <v>25.31</v>
      </c>
      <c r="DE391" t="s">
        <v>0</v>
      </c>
    </row>
    <row r="392" spans="1:109" hidden="1" x14ac:dyDescent="0.35">
      <c r="A392">
        <v>1024706699</v>
      </c>
      <c r="D392" t="s">
        <v>100</v>
      </c>
      <c r="E392" t="s">
        <v>180</v>
      </c>
      <c r="F392" t="s">
        <v>98</v>
      </c>
      <c r="G392" t="s">
        <v>97</v>
      </c>
      <c r="I392" t="s">
        <v>7</v>
      </c>
      <c r="J392">
        <v>356570562</v>
      </c>
      <c r="AL392">
        <v>24706699</v>
      </c>
      <c r="AX392">
        <v>11</v>
      </c>
      <c r="AY392">
        <v>639367</v>
      </c>
      <c r="AZ392">
        <v>5463403</v>
      </c>
      <c r="BA392">
        <v>26936.899554033898</v>
      </c>
      <c r="BB392" t="s">
        <v>459</v>
      </c>
      <c r="BC392" t="s">
        <v>477</v>
      </c>
      <c r="BD392" t="s">
        <v>94</v>
      </c>
      <c r="BE392" t="s">
        <v>457</v>
      </c>
      <c r="BF392" t="s">
        <v>449</v>
      </c>
      <c r="BG392">
        <v>1</v>
      </c>
      <c r="BH392" t="s">
        <v>476</v>
      </c>
      <c r="BI392">
        <v>281</v>
      </c>
      <c r="BM392">
        <v>0</v>
      </c>
      <c r="BN392">
        <v>0</v>
      </c>
      <c r="BO392">
        <v>0</v>
      </c>
      <c r="BP392">
        <v>0</v>
      </c>
      <c r="BQ392">
        <v>0</v>
      </c>
      <c r="BR392">
        <v>0</v>
      </c>
      <c r="BS392">
        <v>0</v>
      </c>
      <c r="BT392">
        <v>0</v>
      </c>
      <c r="BU392">
        <v>0</v>
      </c>
      <c r="BV392">
        <v>0</v>
      </c>
      <c r="BW392">
        <v>0</v>
      </c>
      <c r="BX392">
        <v>0</v>
      </c>
      <c r="BY392">
        <v>0</v>
      </c>
      <c r="BZ392">
        <v>0</v>
      </c>
      <c r="CA392">
        <v>0</v>
      </c>
      <c r="CB392">
        <v>0</v>
      </c>
      <c r="CC392">
        <v>0</v>
      </c>
      <c r="CD392">
        <v>0</v>
      </c>
      <c r="CE392">
        <v>0</v>
      </c>
      <c r="CF392">
        <v>0</v>
      </c>
      <c r="CG392">
        <v>0</v>
      </c>
      <c r="CH392">
        <v>0</v>
      </c>
      <c r="CI392">
        <v>0</v>
      </c>
      <c r="CJ392">
        <v>0</v>
      </c>
      <c r="CK392">
        <v>728.55101125313399</v>
      </c>
      <c r="CL392">
        <v>860.96438437087295</v>
      </c>
      <c r="CM392">
        <v>625.37</v>
      </c>
      <c r="CN392">
        <v>670.16</v>
      </c>
      <c r="CO392">
        <v>728.55</v>
      </c>
      <c r="CP392">
        <v>728.55</v>
      </c>
      <c r="CQ392">
        <v>860.96</v>
      </c>
      <c r="CR392">
        <v>860.96</v>
      </c>
      <c r="CS392">
        <v>944.6</v>
      </c>
      <c r="CT392">
        <v>944.6</v>
      </c>
      <c r="DE392" t="s">
        <v>0</v>
      </c>
    </row>
    <row r="393" spans="1:109" hidden="1" x14ac:dyDescent="0.35">
      <c r="A393">
        <v>1024706700</v>
      </c>
      <c r="D393" t="s">
        <v>100</v>
      </c>
      <c r="E393" t="s">
        <v>180</v>
      </c>
      <c r="F393" t="s">
        <v>98</v>
      </c>
      <c r="G393" t="s">
        <v>97</v>
      </c>
      <c r="I393" t="s">
        <v>7</v>
      </c>
      <c r="J393">
        <v>356565783</v>
      </c>
      <c r="AL393">
        <v>24706700</v>
      </c>
      <c r="AX393">
        <v>11</v>
      </c>
      <c r="AY393">
        <v>653525</v>
      </c>
      <c r="AZ393">
        <v>5511297</v>
      </c>
      <c r="BA393">
        <v>2314.4579773617402</v>
      </c>
      <c r="BB393" t="s">
        <v>329</v>
      </c>
      <c r="BC393" t="s">
        <v>329</v>
      </c>
      <c r="BD393" t="s">
        <v>94</v>
      </c>
      <c r="BE393" t="s">
        <v>23</v>
      </c>
      <c r="BF393" t="s">
        <v>449</v>
      </c>
      <c r="BG393">
        <v>1</v>
      </c>
      <c r="BH393" t="s">
        <v>473</v>
      </c>
      <c r="BI393">
        <v>82</v>
      </c>
      <c r="BM393">
        <v>0</v>
      </c>
      <c r="BN393">
        <v>0</v>
      </c>
      <c r="BO393">
        <v>0</v>
      </c>
      <c r="BP393">
        <v>0</v>
      </c>
      <c r="BQ393">
        <v>0</v>
      </c>
      <c r="BR393">
        <v>0</v>
      </c>
      <c r="BS393">
        <v>0</v>
      </c>
      <c r="BT393">
        <v>0</v>
      </c>
      <c r="BU393">
        <v>0</v>
      </c>
      <c r="BV393">
        <v>0</v>
      </c>
      <c r="BW393">
        <v>0</v>
      </c>
      <c r="BX393">
        <v>0</v>
      </c>
      <c r="BY393">
        <v>0</v>
      </c>
      <c r="BZ393">
        <v>0</v>
      </c>
      <c r="CA393">
        <v>0</v>
      </c>
      <c r="CB393">
        <v>0</v>
      </c>
      <c r="CC393">
        <v>0</v>
      </c>
      <c r="CD393">
        <v>0</v>
      </c>
      <c r="CE393">
        <v>0</v>
      </c>
      <c r="CF393">
        <v>0</v>
      </c>
      <c r="CG393">
        <v>0</v>
      </c>
      <c r="CH393">
        <v>0</v>
      </c>
      <c r="CI393">
        <v>0</v>
      </c>
      <c r="CJ393">
        <v>0</v>
      </c>
      <c r="CK393">
        <v>123.83391174533401</v>
      </c>
      <c r="CL393">
        <v>165.15674428667799</v>
      </c>
      <c r="CM393">
        <v>115.86</v>
      </c>
      <c r="CN393">
        <v>136.85</v>
      </c>
      <c r="CO393">
        <v>123.83</v>
      </c>
      <c r="CP393">
        <v>123.83</v>
      </c>
      <c r="CQ393">
        <v>165.16</v>
      </c>
      <c r="CR393">
        <v>165.16</v>
      </c>
      <c r="CS393">
        <v>165.16</v>
      </c>
      <c r="CT393">
        <v>165.16</v>
      </c>
      <c r="DE393" t="s">
        <v>0</v>
      </c>
    </row>
    <row r="394" spans="1:109" hidden="1" x14ac:dyDescent="0.35">
      <c r="A394">
        <v>1024706702</v>
      </c>
      <c r="D394" t="s">
        <v>100</v>
      </c>
      <c r="E394" t="s">
        <v>180</v>
      </c>
      <c r="F394" t="s">
        <v>98</v>
      </c>
      <c r="G394" t="s">
        <v>97</v>
      </c>
      <c r="I394" t="s">
        <v>7</v>
      </c>
      <c r="J394">
        <v>356565783</v>
      </c>
      <c r="AL394">
        <v>24706702</v>
      </c>
      <c r="AX394">
        <v>11</v>
      </c>
      <c r="AY394">
        <v>659888</v>
      </c>
      <c r="AZ394">
        <v>5501006</v>
      </c>
      <c r="BA394">
        <v>17092.304943457199</v>
      </c>
      <c r="BB394" t="s">
        <v>329</v>
      </c>
      <c r="BC394" t="s">
        <v>475</v>
      </c>
      <c r="BD394" t="s">
        <v>94</v>
      </c>
      <c r="BE394" t="s">
        <v>23</v>
      </c>
      <c r="BF394" t="s">
        <v>449</v>
      </c>
      <c r="BG394">
        <v>1</v>
      </c>
      <c r="BH394" t="s">
        <v>474</v>
      </c>
      <c r="BI394">
        <v>47</v>
      </c>
      <c r="BM394">
        <v>0</v>
      </c>
      <c r="BN394">
        <v>0</v>
      </c>
      <c r="BO394">
        <v>0</v>
      </c>
      <c r="BP394">
        <v>0</v>
      </c>
      <c r="BQ394">
        <v>0</v>
      </c>
      <c r="BR394">
        <v>0</v>
      </c>
      <c r="BS394">
        <v>0</v>
      </c>
      <c r="BT394">
        <v>0</v>
      </c>
      <c r="BU394">
        <v>0</v>
      </c>
      <c r="BV394">
        <v>0</v>
      </c>
      <c r="BW394">
        <v>0</v>
      </c>
      <c r="BX394">
        <v>0</v>
      </c>
      <c r="BY394">
        <v>0</v>
      </c>
      <c r="BZ394">
        <v>0</v>
      </c>
      <c r="CA394">
        <v>0</v>
      </c>
      <c r="CB394">
        <v>0</v>
      </c>
      <c r="CC394">
        <v>0</v>
      </c>
      <c r="CD394">
        <v>0</v>
      </c>
      <c r="CE394">
        <v>0</v>
      </c>
      <c r="CF394">
        <v>0</v>
      </c>
      <c r="CG394">
        <v>0</v>
      </c>
      <c r="CH394">
        <v>0</v>
      </c>
      <c r="CI394">
        <v>0</v>
      </c>
      <c r="CJ394">
        <v>0</v>
      </c>
      <c r="CK394">
        <v>72.249476715895398</v>
      </c>
      <c r="CL394">
        <v>98.181161851940701</v>
      </c>
      <c r="CM394">
        <v>66.97</v>
      </c>
      <c r="CN394">
        <v>82.71</v>
      </c>
      <c r="CO394">
        <v>72.25</v>
      </c>
      <c r="CP394">
        <v>72.25</v>
      </c>
      <c r="CQ394">
        <v>98.18</v>
      </c>
      <c r="CR394">
        <v>98.18</v>
      </c>
      <c r="CS394">
        <v>98.18</v>
      </c>
      <c r="CT394">
        <v>98.18</v>
      </c>
      <c r="DE394" t="s">
        <v>0</v>
      </c>
    </row>
    <row r="395" spans="1:109" hidden="1" x14ac:dyDescent="0.35">
      <c r="A395">
        <v>1024706703</v>
      </c>
      <c r="D395" t="s">
        <v>100</v>
      </c>
      <c r="E395" t="s">
        <v>180</v>
      </c>
      <c r="F395" t="s">
        <v>98</v>
      </c>
      <c r="G395" t="s">
        <v>97</v>
      </c>
      <c r="I395" t="s">
        <v>7</v>
      </c>
      <c r="J395">
        <v>356565783</v>
      </c>
      <c r="AL395">
        <v>24706703</v>
      </c>
      <c r="AX395">
        <v>11</v>
      </c>
      <c r="AY395">
        <v>651935</v>
      </c>
      <c r="AZ395">
        <v>5511779</v>
      </c>
      <c r="BA395">
        <v>361.80806168905798</v>
      </c>
      <c r="BB395" t="s">
        <v>329</v>
      </c>
      <c r="BC395" t="s">
        <v>329</v>
      </c>
      <c r="BD395" t="s">
        <v>94</v>
      </c>
      <c r="BE395" t="s">
        <v>23</v>
      </c>
      <c r="BF395" t="s">
        <v>449</v>
      </c>
      <c r="BG395">
        <v>1</v>
      </c>
      <c r="BH395" t="s">
        <v>473</v>
      </c>
      <c r="BI395">
        <v>82</v>
      </c>
      <c r="BM395">
        <v>0</v>
      </c>
      <c r="BN395">
        <v>0</v>
      </c>
      <c r="BO395">
        <v>0</v>
      </c>
      <c r="BP395">
        <v>0</v>
      </c>
      <c r="BQ395">
        <v>0</v>
      </c>
      <c r="BR395">
        <v>0</v>
      </c>
      <c r="BS395">
        <v>0</v>
      </c>
      <c r="BT395">
        <v>0</v>
      </c>
      <c r="BU395">
        <v>0</v>
      </c>
      <c r="BV395">
        <v>0</v>
      </c>
      <c r="BW395">
        <v>0</v>
      </c>
      <c r="BX395">
        <v>0</v>
      </c>
      <c r="BY395">
        <v>0</v>
      </c>
      <c r="BZ395">
        <v>0</v>
      </c>
      <c r="CA395">
        <v>0</v>
      </c>
      <c r="CB395">
        <v>0</v>
      </c>
      <c r="CC395">
        <v>0</v>
      </c>
      <c r="CD395">
        <v>0</v>
      </c>
      <c r="CE395">
        <v>0</v>
      </c>
      <c r="CF395">
        <v>0</v>
      </c>
      <c r="CG395">
        <v>0</v>
      </c>
      <c r="CH395">
        <v>0</v>
      </c>
      <c r="CI395">
        <v>0</v>
      </c>
      <c r="CJ395">
        <v>0</v>
      </c>
      <c r="CK395">
        <v>125.78591268414399</v>
      </c>
      <c r="CL395">
        <v>167.10874522548801</v>
      </c>
      <c r="CM395">
        <v>117.81</v>
      </c>
      <c r="CN395">
        <v>138.80000000000001</v>
      </c>
      <c r="CO395">
        <v>125.79</v>
      </c>
      <c r="CP395">
        <v>125.79</v>
      </c>
      <c r="CQ395">
        <v>167.11</v>
      </c>
      <c r="CR395">
        <v>167.11</v>
      </c>
      <c r="CS395">
        <v>167.11</v>
      </c>
      <c r="CT395">
        <v>167.11</v>
      </c>
      <c r="DE395" t="s">
        <v>0</v>
      </c>
    </row>
    <row r="396" spans="1:109" hidden="1" x14ac:dyDescent="0.35">
      <c r="A396">
        <v>1024706705</v>
      </c>
      <c r="D396" t="s">
        <v>100</v>
      </c>
      <c r="E396" t="s">
        <v>180</v>
      </c>
      <c r="F396" t="s">
        <v>98</v>
      </c>
      <c r="G396" t="s">
        <v>97</v>
      </c>
      <c r="I396" t="s">
        <v>7</v>
      </c>
      <c r="J396">
        <v>356563823</v>
      </c>
      <c r="AL396">
        <v>24706705</v>
      </c>
      <c r="AX396">
        <v>11</v>
      </c>
      <c r="AY396">
        <v>657147</v>
      </c>
      <c r="AZ396">
        <v>5547605</v>
      </c>
      <c r="BA396">
        <v>772.49194466241397</v>
      </c>
      <c r="BB396" t="s">
        <v>472</v>
      </c>
      <c r="BC396" t="s">
        <v>471</v>
      </c>
      <c r="BD396" t="s">
        <v>94</v>
      </c>
      <c r="BE396" t="s">
        <v>470</v>
      </c>
      <c r="BF396" t="s">
        <v>449</v>
      </c>
      <c r="BG396">
        <v>1</v>
      </c>
      <c r="BH396">
        <v>61608</v>
      </c>
      <c r="BI396">
        <v>1</v>
      </c>
      <c r="BM396">
        <v>0</v>
      </c>
      <c r="BN396">
        <v>0</v>
      </c>
      <c r="BO396">
        <v>0</v>
      </c>
      <c r="BP396">
        <v>0</v>
      </c>
      <c r="BQ396">
        <v>0</v>
      </c>
      <c r="BR396">
        <v>0</v>
      </c>
      <c r="BS396">
        <v>0</v>
      </c>
      <c r="BT396">
        <v>0</v>
      </c>
      <c r="BU396">
        <v>0</v>
      </c>
      <c r="BV396">
        <v>0</v>
      </c>
      <c r="BW396">
        <v>0</v>
      </c>
      <c r="BX396">
        <v>0</v>
      </c>
      <c r="BY396">
        <v>0</v>
      </c>
      <c r="BZ396">
        <v>0</v>
      </c>
      <c r="CA396">
        <v>0</v>
      </c>
      <c r="CB396">
        <v>0</v>
      </c>
      <c r="CC396">
        <v>0</v>
      </c>
      <c r="CD396">
        <v>0</v>
      </c>
      <c r="CE396">
        <v>0</v>
      </c>
      <c r="CF396">
        <v>0</v>
      </c>
      <c r="CG396">
        <v>0</v>
      </c>
      <c r="CH396">
        <v>0</v>
      </c>
      <c r="CI396">
        <v>0</v>
      </c>
      <c r="CJ396">
        <v>0</v>
      </c>
      <c r="CK396">
        <v>12.3530421913647</v>
      </c>
      <c r="CL396">
        <v>16.867080224388999</v>
      </c>
      <c r="CM396">
        <v>11.81</v>
      </c>
      <c r="CN396">
        <v>15.6</v>
      </c>
      <c r="CO396">
        <v>12.35</v>
      </c>
      <c r="CP396">
        <v>12.35</v>
      </c>
      <c r="CQ396">
        <v>16.87</v>
      </c>
      <c r="CR396">
        <v>16.87</v>
      </c>
      <c r="CS396">
        <v>16.87</v>
      </c>
      <c r="CT396">
        <v>16.87</v>
      </c>
      <c r="DE396" t="s">
        <v>0</v>
      </c>
    </row>
    <row r="397" spans="1:109" hidden="1" x14ac:dyDescent="0.35">
      <c r="A397">
        <v>1024706706</v>
      </c>
      <c r="D397" t="s">
        <v>100</v>
      </c>
      <c r="E397" t="s">
        <v>180</v>
      </c>
      <c r="F397" t="s">
        <v>98</v>
      </c>
      <c r="G397" t="s">
        <v>97</v>
      </c>
      <c r="I397" t="s">
        <v>7</v>
      </c>
      <c r="J397">
        <v>356559840</v>
      </c>
      <c r="AL397">
        <v>24706706</v>
      </c>
      <c r="AX397">
        <v>11</v>
      </c>
      <c r="AY397">
        <v>655883</v>
      </c>
      <c r="AZ397">
        <v>5552861</v>
      </c>
      <c r="BA397">
        <v>671.17040235170498</v>
      </c>
      <c r="BB397" t="s">
        <v>469</v>
      </c>
      <c r="BC397" t="s">
        <v>469</v>
      </c>
      <c r="BD397" t="s">
        <v>94</v>
      </c>
      <c r="BE397" t="s">
        <v>468</v>
      </c>
      <c r="BF397" t="s">
        <v>449</v>
      </c>
      <c r="BG397">
        <v>1</v>
      </c>
      <c r="BM397">
        <v>0</v>
      </c>
      <c r="BN397">
        <v>0</v>
      </c>
      <c r="BO397">
        <v>0</v>
      </c>
      <c r="BP397">
        <v>0</v>
      </c>
      <c r="BQ397">
        <v>0</v>
      </c>
      <c r="BR397">
        <v>0</v>
      </c>
      <c r="BS397">
        <v>0</v>
      </c>
      <c r="BT397">
        <v>0</v>
      </c>
      <c r="BU397">
        <v>0</v>
      </c>
      <c r="BV397">
        <v>0</v>
      </c>
      <c r="BW397">
        <v>0</v>
      </c>
      <c r="BX397">
        <v>0</v>
      </c>
      <c r="BY397">
        <v>0</v>
      </c>
      <c r="BZ397">
        <v>0</v>
      </c>
      <c r="CA397">
        <v>0</v>
      </c>
      <c r="CB397">
        <v>0</v>
      </c>
      <c r="CC397">
        <v>0</v>
      </c>
      <c r="CD397">
        <v>0</v>
      </c>
      <c r="CE397">
        <v>0</v>
      </c>
      <c r="CF397">
        <v>0</v>
      </c>
      <c r="CG397">
        <v>0</v>
      </c>
      <c r="CH397">
        <v>0</v>
      </c>
      <c r="CI397">
        <v>0</v>
      </c>
      <c r="CJ397">
        <v>0</v>
      </c>
      <c r="CK397">
        <v>4.4720888365578597</v>
      </c>
      <c r="CL397">
        <v>4.9572937825514396</v>
      </c>
      <c r="CM397">
        <v>4.47</v>
      </c>
      <c r="CN397">
        <v>4.96</v>
      </c>
      <c r="CO397">
        <v>4.47</v>
      </c>
      <c r="CP397">
        <v>4.47</v>
      </c>
      <c r="CQ397">
        <v>4.96</v>
      </c>
      <c r="CR397">
        <v>4.96</v>
      </c>
      <c r="CS397">
        <v>4.96</v>
      </c>
      <c r="CT397">
        <v>4.96</v>
      </c>
      <c r="DE397" t="s">
        <v>0</v>
      </c>
    </row>
    <row r="398" spans="1:109" hidden="1" x14ac:dyDescent="0.35">
      <c r="A398">
        <v>1024734087</v>
      </c>
      <c r="D398" t="s">
        <v>100</v>
      </c>
      <c r="E398" t="s">
        <v>99</v>
      </c>
      <c r="F398" t="s">
        <v>98</v>
      </c>
      <c r="G398" t="s">
        <v>97</v>
      </c>
      <c r="J398">
        <v>356559093</v>
      </c>
      <c r="AL398">
        <v>24734087</v>
      </c>
      <c r="AX398">
        <v>11</v>
      </c>
      <c r="AY398">
        <v>638571</v>
      </c>
      <c r="AZ398">
        <v>5482511</v>
      </c>
      <c r="BA398">
        <v>1617.0322019808</v>
      </c>
      <c r="BB398" t="s">
        <v>467</v>
      </c>
      <c r="BC398" t="s">
        <v>466</v>
      </c>
      <c r="BD398" t="s">
        <v>94</v>
      </c>
      <c r="BE398" t="s">
        <v>465</v>
      </c>
      <c r="BF398" t="s">
        <v>449</v>
      </c>
      <c r="BG398">
        <v>1</v>
      </c>
      <c r="BH398" t="s">
        <v>464</v>
      </c>
      <c r="BI398">
        <v>4</v>
      </c>
      <c r="BM398">
        <v>0</v>
      </c>
      <c r="BN398">
        <v>0</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c r="CH398">
        <v>0</v>
      </c>
      <c r="CI398">
        <v>0</v>
      </c>
      <c r="CJ398">
        <v>0</v>
      </c>
      <c r="CK398">
        <v>9.9683165149084108</v>
      </c>
      <c r="CL398">
        <v>11.252026998876101</v>
      </c>
      <c r="CM398">
        <v>9.9700000000000006</v>
      </c>
      <c r="CN398">
        <v>10.52</v>
      </c>
      <c r="CO398">
        <v>9.9700000000000006</v>
      </c>
      <c r="CP398">
        <v>9.9700000000000006</v>
      </c>
      <c r="CQ398">
        <v>11.25</v>
      </c>
      <c r="CR398">
        <v>11.25</v>
      </c>
      <c r="CS398">
        <v>13.22</v>
      </c>
      <c r="CT398">
        <v>13.22</v>
      </c>
      <c r="DE398" t="s">
        <v>0</v>
      </c>
    </row>
    <row r="399" spans="1:109" hidden="1" x14ac:dyDescent="0.35">
      <c r="A399">
        <v>1024734539</v>
      </c>
      <c r="D399" t="s">
        <v>100</v>
      </c>
      <c r="E399" t="s">
        <v>99</v>
      </c>
      <c r="F399" t="s">
        <v>98</v>
      </c>
      <c r="G399" t="s">
        <v>97</v>
      </c>
      <c r="J399">
        <v>356565783</v>
      </c>
      <c r="AL399">
        <v>24734539</v>
      </c>
      <c r="AX399">
        <v>11</v>
      </c>
      <c r="AY399">
        <v>656324</v>
      </c>
      <c r="AZ399">
        <v>5508094</v>
      </c>
      <c r="BA399">
        <v>6726.6562747074804</v>
      </c>
      <c r="BB399" t="s">
        <v>329</v>
      </c>
      <c r="BC399" t="s">
        <v>463</v>
      </c>
      <c r="BD399" t="s">
        <v>94</v>
      </c>
      <c r="BE399" t="s">
        <v>23</v>
      </c>
      <c r="BF399" t="s">
        <v>449</v>
      </c>
      <c r="BG399">
        <v>1</v>
      </c>
      <c r="BH399" t="s">
        <v>462</v>
      </c>
      <c r="BI399">
        <v>74</v>
      </c>
      <c r="BM399">
        <v>0</v>
      </c>
      <c r="BN399">
        <v>0</v>
      </c>
      <c r="BO399">
        <v>0</v>
      </c>
      <c r="BP399">
        <v>0</v>
      </c>
      <c r="BQ399">
        <v>0</v>
      </c>
      <c r="BR399">
        <v>0</v>
      </c>
      <c r="BS399">
        <v>0</v>
      </c>
      <c r="BT399">
        <v>0</v>
      </c>
      <c r="BU399">
        <v>0</v>
      </c>
      <c r="BV399">
        <v>0</v>
      </c>
      <c r="BW399">
        <v>0</v>
      </c>
      <c r="BX399">
        <v>0</v>
      </c>
      <c r="BY399">
        <v>0</v>
      </c>
      <c r="BZ399">
        <v>0</v>
      </c>
      <c r="CA399">
        <v>0</v>
      </c>
      <c r="CB399">
        <v>0</v>
      </c>
      <c r="CC399">
        <v>0</v>
      </c>
      <c r="CD399">
        <v>0</v>
      </c>
      <c r="CE399">
        <v>0</v>
      </c>
      <c r="CF399">
        <v>0</v>
      </c>
      <c r="CG399">
        <v>0</v>
      </c>
      <c r="CH399">
        <v>0</v>
      </c>
      <c r="CI399">
        <v>0</v>
      </c>
      <c r="CJ399">
        <v>0</v>
      </c>
      <c r="CK399">
        <v>119.42091134706099</v>
      </c>
      <c r="CL399">
        <v>160.718226778027</v>
      </c>
      <c r="CM399">
        <v>111.45</v>
      </c>
      <c r="CN399">
        <v>132.41</v>
      </c>
      <c r="CO399">
        <v>119.42</v>
      </c>
      <c r="CP399">
        <v>119.42</v>
      </c>
      <c r="CQ399">
        <v>160.72</v>
      </c>
      <c r="CR399">
        <v>160.72</v>
      </c>
      <c r="CS399">
        <v>160.72</v>
      </c>
      <c r="CT399">
        <v>160.72</v>
      </c>
      <c r="DE399" t="s">
        <v>0</v>
      </c>
    </row>
    <row r="400" spans="1:109" hidden="1" x14ac:dyDescent="0.35">
      <c r="A400">
        <v>1024735271</v>
      </c>
      <c r="D400" t="s">
        <v>100</v>
      </c>
      <c r="E400" t="s">
        <v>99</v>
      </c>
      <c r="F400" t="s">
        <v>98</v>
      </c>
      <c r="G400" t="s">
        <v>97</v>
      </c>
      <c r="J400">
        <v>356570562</v>
      </c>
      <c r="AL400">
        <v>24735271</v>
      </c>
      <c r="AX400">
        <v>11</v>
      </c>
      <c r="AY400">
        <v>648776</v>
      </c>
      <c r="AZ400">
        <v>5548313</v>
      </c>
      <c r="BA400">
        <v>139299.91175140001</v>
      </c>
      <c r="BB400" t="s">
        <v>459</v>
      </c>
      <c r="BC400" t="s">
        <v>461</v>
      </c>
      <c r="BD400" t="s">
        <v>94</v>
      </c>
      <c r="BE400" t="s">
        <v>457</v>
      </c>
      <c r="BF400" t="s">
        <v>449</v>
      </c>
      <c r="BG400">
        <v>1</v>
      </c>
      <c r="BH400" t="s">
        <v>460</v>
      </c>
      <c r="BI400">
        <v>19</v>
      </c>
      <c r="BM400">
        <v>0</v>
      </c>
      <c r="BN400">
        <v>0</v>
      </c>
      <c r="BO400">
        <v>0</v>
      </c>
      <c r="BP400">
        <v>0</v>
      </c>
      <c r="BQ400">
        <v>0</v>
      </c>
      <c r="BR400">
        <v>0</v>
      </c>
      <c r="BS400">
        <v>0</v>
      </c>
      <c r="BT400">
        <v>0</v>
      </c>
      <c r="BU400">
        <v>0</v>
      </c>
      <c r="BV400">
        <v>0</v>
      </c>
      <c r="BW400">
        <v>0</v>
      </c>
      <c r="BX400">
        <v>0</v>
      </c>
      <c r="BY400">
        <v>0</v>
      </c>
      <c r="BZ400">
        <v>0</v>
      </c>
      <c r="CA400">
        <v>0</v>
      </c>
      <c r="CB400">
        <v>0</v>
      </c>
      <c r="CC400">
        <v>0</v>
      </c>
      <c r="CD400">
        <v>0</v>
      </c>
      <c r="CE400">
        <v>0</v>
      </c>
      <c r="CF400">
        <v>0</v>
      </c>
      <c r="CG400">
        <v>0</v>
      </c>
      <c r="CH400">
        <v>0</v>
      </c>
      <c r="CI400">
        <v>0</v>
      </c>
      <c r="CJ400">
        <v>0</v>
      </c>
      <c r="CK400">
        <v>178.99081290009801</v>
      </c>
      <c r="CL400">
        <v>248.37434329323301</v>
      </c>
      <c r="CM400">
        <v>178.97</v>
      </c>
      <c r="CN400">
        <v>234.85</v>
      </c>
      <c r="CO400">
        <v>178.99</v>
      </c>
      <c r="CP400">
        <v>178.99</v>
      </c>
      <c r="CQ400">
        <v>248.37</v>
      </c>
      <c r="CR400">
        <v>248.37</v>
      </c>
      <c r="CS400">
        <v>248.37</v>
      </c>
      <c r="CT400">
        <v>248.37</v>
      </c>
      <c r="DE400" t="s">
        <v>0</v>
      </c>
    </row>
    <row r="401" spans="1:109" hidden="1" x14ac:dyDescent="0.35">
      <c r="A401">
        <v>1024735273</v>
      </c>
      <c r="D401" t="s">
        <v>100</v>
      </c>
      <c r="E401" t="s">
        <v>99</v>
      </c>
      <c r="F401" t="s">
        <v>98</v>
      </c>
      <c r="G401" t="s">
        <v>97</v>
      </c>
      <c r="J401">
        <v>356570562</v>
      </c>
      <c r="AL401">
        <v>24735273</v>
      </c>
      <c r="AX401">
        <v>11</v>
      </c>
      <c r="AY401">
        <v>648857</v>
      </c>
      <c r="AZ401">
        <v>5548243</v>
      </c>
      <c r="BA401">
        <v>139190.49922686801</v>
      </c>
      <c r="BB401" t="s">
        <v>459</v>
      </c>
      <c r="BC401" t="s">
        <v>458</v>
      </c>
      <c r="BD401" t="s">
        <v>94</v>
      </c>
      <c r="BE401" t="s">
        <v>457</v>
      </c>
      <c r="BF401" t="s">
        <v>449</v>
      </c>
      <c r="BG401">
        <v>1</v>
      </c>
      <c r="BH401" t="s">
        <v>456</v>
      </c>
      <c r="BI401">
        <v>22</v>
      </c>
      <c r="BM401">
        <v>0</v>
      </c>
      <c r="BN401">
        <v>0</v>
      </c>
      <c r="BO401">
        <v>0</v>
      </c>
      <c r="BP401">
        <v>0</v>
      </c>
      <c r="BQ401">
        <v>0</v>
      </c>
      <c r="BR401">
        <v>0</v>
      </c>
      <c r="BS401">
        <v>0</v>
      </c>
      <c r="BT401">
        <v>0</v>
      </c>
      <c r="BU401">
        <v>0</v>
      </c>
      <c r="BV401">
        <v>0</v>
      </c>
      <c r="BW401">
        <v>0</v>
      </c>
      <c r="BX401">
        <v>0</v>
      </c>
      <c r="BY401">
        <v>0</v>
      </c>
      <c r="BZ401">
        <v>0</v>
      </c>
      <c r="CA401">
        <v>0</v>
      </c>
      <c r="CB401">
        <v>0</v>
      </c>
      <c r="CC401">
        <v>0</v>
      </c>
      <c r="CD401">
        <v>0</v>
      </c>
      <c r="CE401">
        <v>0</v>
      </c>
      <c r="CF401">
        <v>0</v>
      </c>
      <c r="CG401">
        <v>0</v>
      </c>
      <c r="CH401">
        <v>0</v>
      </c>
      <c r="CI401">
        <v>0</v>
      </c>
      <c r="CJ401">
        <v>0</v>
      </c>
      <c r="CK401">
        <v>179.146943154604</v>
      </c>
      <c r="CL401">
        <v>248.60834412368899</v>
      </c>
      <c r="CM401">
        <v>179.11</v>
      </c>
      <c r="CN401">
        <v>235.09</v>
      </c>
      <c r="CO401">
        <v>179.15</v>
      </c>
      <c r="CP401">
        <v>179.15</v>
      </c>
      <c r="CQ401">
        <v>248.61</v>
      </c>
      <c r="CR401">
        <v>248.61</v>
      </c>
      <c r="CS401">
        <v>248.62</v>
      </c>
      <c r="CT401">
        <v>248.62</v>
      </c>
      <c r="DE401" t="s">
        <v>0</v>
      </c>
    </row>
    <row r="402" spans="1:109" hidden="1" x14ac:dyDescent="0.35">
      <c r="A402" t="s">
        <v>455</v>
      </c>
      <c r="D402" t="s">
        <v>454</v>
      </c>
      <c r="E402" t="s">
        <v>453</v>
      </c>
      <c r="F402" t="s">
        <v>258</v>
      </c>
      <c r="G402" t="s">
        <v>97</v>
      </c>
      <c r="J402">
        <v>356566667</v>
      </c>
      <c r="AN402" t="s">
        <v>453</v>
      </c>
      <c r="AV402" t="s">
        <v>6</v>
      </c>
      <c r="AW402" t="s">
        <v>6</v>
      </c>
      <c r="AX402">
        <v>11</v>
      </c>
      <c r="AY402">
        <v>663938</v>
      </c>
      <c r="AZ402">
        <v>5503182</v>
      </c>
      <c r="BA402">
        <v>5899.3704628236201</v>
      </c>
      <c r="BB402" t="s">
        <v>452</v>
      </c>
      <c r="BC402" t="s">
        <v>451</v>
      </c>
      <c r="BD402" t="s">
        <v>94</v>
      </c>
      <c r="BE402" t="s">
        <v>450</v>
      </c>
      <c r="BF402" t="s">
        <v>449</v>
      </c>
      <c r="BG402">
        <v>1</v>
      </c>
      <c r="BH402" t="s">
        <v>448</v>
      </c>
      <c r="BI402">
        <v>3</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c r="CK402">
        <v>26.976687044101201</v>
      </c>
      <c r="CL402">
        <v>35.375371736741599</v>
      </c>
      <c r="CM402">
        <v>26.67</v>
      </c>
      <c r="CN402">
        <v>31.59</v>
      </c>
      <c r="CO402">
        <v>26.98</v>
      </c>
      <c r="CP402">
        <v>26.98</v>
      </c>
      <c r="CQ402">
        <v>35.380000000000003</v>
      </c>
      <c r="CR402">
        <v>35.380000000000003</v>
      </c>
      <c r="CS402">
        <v>35.380000000000003</v>
      </c>
      <c r="CT402">
        <v>35.380000000000003</v>
      </c>
      <c r="DE402" t="s">
        <v>0</v>
      </c>
    </row>
    <row r="403" spans="1:109" hidden="1" x14ac:dyDescent="0.35">
      <c r="A403">
        <v>50262</v>
      </c>
      <c r="D403" t="s">
        <v>121</v>
      </c>
      <c r="E403" t="s">
        <v>99</v>
      </c>
      <c r="F403" t="s">
        <v>258</v>
      </c>
      <c r="G403" t="s">
        <v>97</v>
      </c>
      <c r="J403">
        <v>356565783</v>
      </c>
      <c r="AM403" t="s">
        <v>114</v>
      </c>
      <c r="AN403" t="s">
        <v>256</v>
      </c>
      <c r="AO403" t="s">
        <v>22</v>
      </c>
      <c r="AP403" t="s">
        <v>23</v>
      </c>
      <c r="AQ403" t="s">
        <v>447</v>
      </c>
      <c r="AR403" s="1">
        <v>40825</v>
      </c>
      <c r="AX403">
        <v>11</v>
      </c>
      <c r="AY403">
        <v>668287</v>
      </c>
      <c r="AZ403">
        <v>5482579</v>
      </c>
      <c r="BA403">
        <v>46655</v>
      </c>
      <c r="BB403" t="s">
        <v>329</v>
      </c>
      <c r="BC403" t="s">
        <v>328</v>
      </c>
      <c r="BD403" t="s">
        <v>94</v>
      </c>
      <c r="BE403" t="s">
        <v>23</v>
      </c>
      <c r="BF403" t="s">
        <v>327</v>
      </c>
      <c r="BG403">
        <v>2</v>
      </c>
      <c r="BH403">
        <v>1004600835</v>
      </c>
      <c r="BI403">
        <v>1</v>
      </c>
      <c r="BM403">
        <v>0</v>
      </c>
      <c r="BN403">
        <v>0</v>
      </c>
      <c r="BO403">
        <v>0</v>
      </c>
      <c r="BP403">
        <v>0</v>
      </c>
      <c r="BQ403">
        <v>0</v>
      </c>
      <c r="BR403">
        <v>0</v>
      </c>
      <c r="BS403">
        <v>0</v>
      </c>
      <c r="BT403">
        <v>0</v>
      </c>
      <c r="BU403">
        <v>0</v>
      </c>
      <c r="BV403">
        <v>0</v>
      </c>
      <c r="BW403">
        <v>0</v>
      </c>
      <c r="BX403">
        <v>0</v>
      </c>
      <c r="BY403">
        <v>0</v>
      </c>
      <c r="BZ403">
        <v>0</v>
      </c>
      <c r="CA403">
        <v>0</v>
      </c>
      <c r="CB403">
        <v>0</v>
      </c>
      <c r="CC403">
        <v>0</v>
      </c>
      <c r="CD403">
        <v>0</v>
      </c>
      <c r="CE403">
        <v>0</v>
      </c>
      <c r="CF403">
        <v>0</v>
      </c>
      <c r="CG403">
        <v>0</v>
      </c>
      <c r="CH403">
        <v>0</v>
      </c>
      <c r="CI403">
        <v>0</v>
      </c>
      <c r="CJ403">
        <v>0</v>
      </c>
      <c r="CK403">
        <v>1.66726444075513</v>
      </c>
      <c r="CL403">
        <v>2.8367172779598602</v>
      </c>
      <c r="CM403">
        <v>1.67</v>
      </c>
      <c r="CN403">
        <v>2.2000000000000002</v>
      </c>
      <c r="CO403">
        <v>1.67</v>
      </c>
      <c r="CP403">
        <v>1.67</v>
      </c>
      <c r="CQ403">
        <v>2.84</v>
      </c>
      <c r="CR403">
        <v>2.84</v>
      </c>
      <c r="CS403">
        <v>2.84</v>
      </c>
      <c r="CT403">
        <v>2.84</v>
      </c>
      <c r="DE403" t="s">
        <v>0</v>
      </c>
    </row>
    <row r="404" spans="1:109" hidden="1" x14ac:dyDescent="0.35">
      <c r="A404">
        <v>62433</v>
      </c>
      <c r="D404" t="s">
        <v>121</v>
      </c>
      <c r="E404" t="s">
        <v>99</v>
      </c>
      <c r="F404" t="s">
        <v>98</v>
      </c>
      <c r="G404" t="s">
        <v>97</v>
      </c>
      <c r="J404">
        <v>356553439</v>
      </c>
      <c r="AL404">
        <v>4602294</v>
      </c>
      <c r="AM404" t="s">
        <v>114</v>
      </c>
      <c r="AN404" t="s">
        <v>202</v>
      </c>
      <c r="AO404" t="s">
        <v>446</v>
      </c>
      <c r="AP404" t="s">
        <v>364</v>
      </c>
      <c r="AQ404" t="s">
        <v>296</v>
      </c>
      <c r="AR404" s="1">
        <v>41193</v>
      </c>
      <c r="AX404">
        <v>11</v>
      </c>
      <c r="AY404">
        <v>658534</v>
      </c>
      <c r="AZ404">
        <v>5520192</v>
      </c>
      <c r="BA404">
        <v>3326</v>
      </c>
      <c r="BB404" t="s">
        <v>366</v>
      </c>
      <c r="BC404" t="s">
        <v>445</v>
      </c>
      <c r="BD404" t="s">
        <v>94</v>
      </c>
      <c r="BE404" t="s">
        <v>364</v>
      </c>
      <c r="BF404" t="s">
        <v>363</v>
      </c>
      <c r="BG404">
        <v>2</v>
      </c>
      <c r="BJ404">
        <v>24658290000574</v>
      </c>
      <c r="BK404">
        <v>24658290000574</v>
      </c>
      <c r="BL404">
        <v>24658290000574</v>
      </c>
      <c r="BM404">
        <v>0</v>
      </c>
      <c r="BN404">
        <v>0</v>
      </c>
      <c r="BO404">
        <v>0</v>
      </c>
      <c r="BP404">
        <v>0</v>
      </c>
      <c r="BQ404">
        <v>0</v>
      </c>
      <c r="BR404">
        <v>0</v>
      </c>
      <c r="BS404">
        <v>0</v>
      </c>
      <c r="BT404">
        <v>0</v>
      </c>
      <c r="BU404">
        <v>0</v>
      </c>
      <c r="BV404">
        <v>0</v>
      </c>
      <c r="BW404">
        <v>0</v>
      </c>
      <c r="BX404">
        <v>0</v>
      </c>
      <c r="BY404">
        <v>0</v>
      </c>
      <c r="BZ404">
        <v>0</v>
      </c>
      <c r="CA404">
        <v>0</v>
      </c>
      <c r="CB404">
        <v>0</v>
      </c>
      <c r="CC404">
        <v>0</v>
      </c>
      <c r="CD404">
        <v>0</v>
      </c>
      <c r="CE404">
        <v>0</v>
      </c>
      <c r="CF404">
        <v>0</v>
      </c>
      <c r="CG404">
        <v>0</v>
      </c>
      <c r="CH404">
        <v>0</v>
      </c>
      <c r="CI404">
        <v>0</v>
      </c>
      <c r="CJ404">
        <v>0</v>
      </c>
      <c r="CK404">
        <v>3.0142477575030102</v>
      </c>
      <c r="CL404">
        <v>3.0142477575030102</v>
      </c>
      <c r="CM404">
        <v>3.01</v>
      </c>
      <c r="CN404">
        <v>3.01</v>
      </c>
      <c r="CO404">
        <v>3.01</v>
      </c>
      <c r="CP404">
        <v>3.01</v>
      </c>
      <c r="CQ404">
        <v>3.01</v>
      </c>
      <c r="CR404">
        <v>3.01</v>
      </c>
      <c r="CS404">
        <v>3.01</v>
      </c>
      <c r="CT404">
        <v>3.01</v>
      </c>
      <c r="DE404" t="s">
        <v>0</v>
      </c>
    </row>
    <row r="405" spans="1:109" hidden="1" x14ac:dyDescent="0.35">
      <c r="A405">
        <v>112342</v>
      </c>
      <c r="D405" t="s">
        <v>121</v>
      </c>
      <c r="E405" t="s">
        <v>99</v>
      </c>
      <c r="F405" t="s">
        <v>258</v>
      </c>
      <c r="G405" t="s">
        <v>97</v>
      </c>
      <c r="J405">
        <v>356569311</v>
      </c>
      <c r="AL405">
        <v>4602529</v>
      </c>
      <c r="AM405" t="s">
        <v>114</v>
      </c>
      <c r="AN405" t="s">
        <v>256</v>
      </c>
      <c r="AO405" t="s">
        <v>444</v>
      </c>
      <c r="AP405" t="s">
        <v>443</v>
      </c>
      <c r="AQ405" t="s">
        <v>442</v>
      </c>
      <c r="AR405" s="1">
        <v>41193</v>
      </c>
      <c r="AX405">
        <v>11</v>
      </c>
      <c r="AY405">
        <v>666405</v>
      </c>
      <c r="AZ405">
        <v>5509509</v>
      </c>
      <c r="BA405">
        <v>1659</v>
      </c>
      <c r="BB405" t="s">
        <v>441</v>
      </c>
      <c r="BC405" t="s">
        <v>440</v>
      </c>
      <c r="BD405" t="s">
        <v>94</v>
      </c>
      <c r="BF405" t="s">
        <v>439</v>
      </c>
      <c r="BG405">
        <v>2</v>
      </c>
      <c r="BH405">
        <v>1004603990</v>
      </c>
      <c r="BI405">
        <v>1</v>
      </c>
      <c r="BM405">
        <v>0</v>
      </c>
      <c r="BN405">
        <v>0</v>
      </c>
      <c r="BO405">
        <v>0</v>
      </c>
      <c r="BP405">
        <v>0</v>
      </c>
      <c r="BQ405">
        <v>0</v>
      </c>
      <c r="BR405">
        <v>0</v>
      </c>
      <c r="BS405">
        <v>0</v>
      </c>
      <c r="BT405">
        <v>0</v>
      </c>
      <c r="BU405">
        <v>0</v>
      </c>
      <c r="BV405">
        <v>0</v>
      </c>
      <c r="BW405">
        <v>0</v>
      </c>
      <c r="BX405">
        <v>0</v>
      </c>
      <c r="BY405">
        <v>0</v>
      </c>
      <c r="BZ405">
        <v>0</v>
      </c>
      <c r="CA405">
        <v>0</v>
      </c>
      <c r="CB405">
        <v>0</v>
      </c>
      <c r="CC405">
        <v>0</v>
      </c>
      <c r="CD405">
        <v>0</v>
      </c>
      <c r="CE405">
        <v>0</v>
      </c>
      <c r="CF405">
        <v>0</v>
      </c>
      <c r="CG405">
        <v>0</v>
      </c>
      <c r="CH405">
        <v>0</v>
      </c>
      <c r="CI405">
        <v>0</v>
      </c>
      <c r="CJ405">
        <v>0</v>
      </c>
      <c r="CK405">
        <v>0.30843159790807601</v>
      </c>
      <c r="CL405">
        <v>2.40008464677766</v>
      </c>
      <c r="CM405">
        <v>0.31</v>
      </c>
      <c r="CN405">
        <v>2.2000000000000002</v>
      </c>
      <c r="CO405">
        <v>0.31</v>
      </c>
      <c r="CP405">
        <v>0.31</v>
      </c>
      <c r="CQ405">
        <v>2.4</v>
      </c>
      <c r="CR405">
        <v>2.4</v>
      </c>
      <c r="CS405">
        <v>2.4</v>
      </c>
      <c r="CT405">
        <v>2.4</v>
      </c>
      <c r="DE405" t="s">
        <v>0</v>
      </c>
    </row>
    <row r="406" spans="1:109" hidden="1" x14ac:dyDescent="0.35">
      <c r="A406">
        <v>197522</v>
      </c>
      <c r="B406">
        <v>197522</v>
      </c>
      <c r="D406" t="s">
        <v>121</v>
      </c>
      <c r="E406" t="s">
        <v>99</v>
      </c>
      <c r="F406" t="s">
        <v>104</v>
      </c>
      <c r="G406" t="s">
        <v>119</v>
      </c>
      <c r="H406" t="s">
        <v>409</v>
      </c>
      <c r="J406">
        <v>356430275</v>
      </c>
      <c r="K406" t="s">
        <v>19</v>
      </c>
      <c r="L406" t="s">
        <v>412</v>
      </c>
      <c r="M406" t="s">
        <v>39</v>
      </c>
      <c r="P406" t="s">
        <v>5</v>
      </c>
      <c r="Q406" t="s">
        <v>4</v>
      </c>
      <c r="R406" t="s">
        <v>52</v>
      </c>
      <c r="V406" t="s">
        <v>51</v>
      </c>
      <c r="AI406" t="s">
        <v>438</v>
      </c>
      <c r="AJ406" t="s">
        <v>437</v>
      </c>
      <c r="AK406" t="s">
        <v>436</v>
      </c>
      <c r="AL406">
        <v>4605705</v>
      </c>
      <c r="AM406" t="s">
        <v>114</v>
      </c>
      <c r="AN406" t="s">
        <v>113</v>
      </c>
      <c r="AO406" t="s">
        <v>409</v>
      </c>
      <c r="AP406" t="s">
        <v>19</v>
      </c>
      <c r="AQ406" t="s">
        <v>435</v>
      </c>
      <c r="AR406" s="1">
        <v>44090</v>
      </c>
      <c r="AX406">
        <v>11</v>
      </c>
      <c r="AY406">
        <v>643830</v>
      </c>
      <c r="AZ406">
        <v>5560878</v>
      </c>
      <c r="BA406">
        <v>1205</v>
      </c>
      <c r="BB406" t="s">
        <v>434</v>
      </c>
      <c r="BC406" t="s">
        <v>407</v>
      </c>
      <c r="BD406" t="s">
        <v>94</v>
      </c>
      <c r="BF406" t="s">
        <v>406</v>
      </c>
      <c r="BG406">
        <v>2</v>
      </c>
      <c r="BM406">
        <v>0</v>
      </c>
      <c r="BN406">
        <v>0</v>
      </c>
      <c r="BO406">
        <v>0</v>
      </c>
      <c r="BP406">
        <v>0</v>
      </c>
      <c r="BQ406">
        <v>0</v>
      </c>
      <c r="BR406">
        <v>0</v>
      </c>
      <c r="BS406">
        <v>0</v>
      </c>
      <c r="BT406">
        <v>0</v>
      </c>
      <c r="BU406">
        <v>0</v>
      </c>
      <c r="BV406">
        <v>0</v>
      </c>
      <c r="BW406">
        <v>0</v>
      </c>
      <c r="BX406">
        <v>0</v>
      </c>
      <c r="BY406">
        <v>0</v>
      </c>
      <c r="BZ406">
        <v>0</v>
      </c>
      <c r="CA406">
        <v>0</v>
      </c>
      <c r="CB406">
        <v>0</v>
      </c>
      <c r="CC406">
        <v>0</v>
      </c>
      <c r="CD406">
        <v>0</v>
      </c>
      <c r="CE406">
        <v>0</v>
      </c>
      <c r="CF406">
        <v>0</v>
      </c>
      <c r="CG406">
        <v>0</v>
      </c>
      <c r="CH406">
        <v>0</v>
      </c>
      <c r="CI406">
        <v>0</v>
      </c>
      <c r="CJ406">
        <v>0</v>
      </c>
      <c r="CK406">
        <v>0</v>
      </c>
      <c r="CL406">
        <v>0</v>
      </c>
      <c r="CM406">
        <v>0</v>
      </c>
      <c r="CN406">
        <v>0</v>
      </c>
      <c r="CO406">
        <v>0</v>
      </c>
      <c r="CP406">
        <v>0</v>
      </c>
      <c r="CQ406">
        <v>0</v>
      </c>
      <c r="CR406">
        <v>0</v>
      </c>
      <c r="CS406">
        <v>0</v>
      </c>
      <c r="CT406">
        <v>0</v>
      </c>
      <c r="DE406" t="s">
        <v>0</v>
      </c>
    </row>
    <row r="407" spans="1:109" hidden="1" x14ac:dyDescent="0.35">
      <c r="A407">
        <v>197525</v>
      </c>
      <c r="B407">
        <v>197525</v>
      </c>
      <c r="D407" t="s">
        <v>121</v>
      </c>
      <c r="E407" t="s">
        <v>99</v>
      </c>
      <c r="F407" t="s">
        <v>104</v>
      </c>
      <c r="G407" t="s">
        <v>119</v>
      </c>
      <c r="J407">
        <v>356569772</v>
      </c>
      <c r="K407" t="s">
        <v>19</v>
      </c>
      <c r="L407" t="s">
        <v>433</v>
      </c>
      <c r="M407" t="s">
        <v>39</v>
      </c>
      <c r="P407" t="s">
        <v>5</v>
      </c>
      <c r="Q407" t="s">
        <v>4</v>
      </c>
      <c r="R407" t="s">
        <v>52</v>
      </c>
      <c r="V407" t="s">
        <v>51</v>
      </c>
      <c r="AI407" t="s">
        <v>432</v>
      </c>
      <c r="AK407" t="s">
        <v>431</v>
      </c>
      <c r="AL407">
        <v>4606609</v>
      </c>
      <c r="AM407" t="s">
        <v>114</v>
      </c>
      <c r="AN407" t="s">
        <v>113</v>
      </c>
      <c r="AO407" t="s">
        <v>430</v>
      </c>
      <c r="AP407" t="s">
        <v>19</v>
      </c>
      <c r="AQ407" t="s">
        <v>429</v>
      </c>
      <c r="AR407" s="1">
        <v>44090</v>
      </c>
      <c r="AX407">
        <v>11</v>
      </c>
      <c r="AY407">
        <v>646463</v>
      </c>
      <c r="AZ407">
        <v>5554360</v>
      </c>
      <c r="BA407">
        <v>1411</v>
      </c>
      <c r="BB407" t="s">
        <v>428</v>
      </c>
      <c r="BC407" t="s">
        <v>427</v>
      </c>
      <c r="BD407" t="s">
        <v>94</v>
      </c>
      <c r="BF407" t="s">
        <v>426</v>
      </c>
      <c r="BG407">
        <v>2</v>
      </c>
      <c r="BM407">
        <v>0</v>
      </c>
      <c r="BN407">
        <v>0</v>
      </c>
      <c r="BO407">
        <v>0</v>
      </c>
      <c r="BP407">
        <v>0</v>
      </c>
      <c r="BQ407">
        <v>0</v>
      </c>
      <c r="BR407">
        <v>0</v>
      </c>
      <c r="BS407">
        <v>0</v>
      </c>
      <c r="BT407">
        <v>0</v>
      </c>
      <c r="BU407">
        <v>0</v>
      </c>
      <c r="BV407">
        <v>0</v>
      </c>
      <c r="BW407">
        <v>0</v>
      </c>
      <c r="BX407">
        <v>0</v>
      </c>
      <c r="BY407">
        <v>0</v>
      </c>
      <c r="BZ407">
        <v>0</v>
      </c>
      <c r="CA407">
        <v>0</v>
      </c>
      <c r="CB407">
        <v>0</v>
      </c>
      <c r="CC407">
        <v>0</v>
      </c>
      <c r="CD407">
        <v>0</v>
      </c>
      <c r="CE407">
        <v>0</v>
      </c>
      <c r="CF407">
        <v>0</v>
      </c>
      <c r="CG407">
        <v>0</v>
      </c>
      <c r="CH407">
        <v>0</v>
      </c>
      <c r="CI407">
        <v>0</v>
      </c>
      <c r="CJ407">
        <v>0</v>
      </c>
      <c r="CK407">
        <v>0</v>
      </c>
      <c r="CL407">
        <v>0</v>
      </c>
      <c r="CM407">
        <v>0</v>
      </c>
      <c r="CN407">
        <v>0</v>
      </c>
      <c r="CO407">
        <v>0</v>
      </c>
      <c r="CP407">
        <v>0</v>
      </c>
      <c r="CQ407">
        <v>0</v>
      </c>
      <c r="CR407">
        <v>0</v>
      </c>
      <c r="CS407">
        <v>0</v>
      </c>
      <c r="CT407">
        <v>0</v>
      </c>
      <c r="DE407" t="s">
        <v>0</v>
      </c>
    </row>
    <row r="408" spans="1:109" hidden="1" x14ac:dyDescent="0.35">
      <c r="A408">
        <v>197528</v>
      </c>
      <c r="B408">
        <v>197528</v>
      </c>
      <c r="D408" t="s">
        <v>121</v>
      </c>
      <c r="E408" t="s">
        <v>120</v>
      </c>
      <c r="F408" t="s">
        <v>104</v>
      </c>
      <c r="G408" t="s">
        <v>103</v>
      </c>
      <c r="H408" t="s">
        <v>168</v>
      </c>
      <c r="J408">
        <v>356569657</v>
      </c>
      <c r="K408" t="s">
        <v>423</v>
      </c>
      <c r="L408" t="s">
        <v>165</v>
      </c>
      <c r="M408" t="s">
        <v>39</v>
      </c>
      <c r="P408" t="s">
        <v>5</v>
      </c>
      <c r="Q408" t="s">
        <v>4</v>
      </c>
      <c r="R408" t="s">
        <v>52</v>
      </c>
      <c r="S408" t="s">
        <v>2</v>
      </c>
      <c r="V408" t="s">
        <v>51</v>
      </c>
      <c r="AI408" t="s">
        <v>425</v>
      </c>
      <c r="AK408" t="s">
        <v>424</v>
      </c>
      <c r="AL408">
        <v>4600329</v>
      </c>
      <c r="AM408" t="s">
        <v>114</v>
      </c>
      <c r="AN408" t="s">
        <v>113</v>
      </c>
      <c r="AO408" t="s">
        <v>165</v>
      </c>
      <c r="AP408" t="s">
        <v>423</v>
      </c>
      <c r="AQ408" t="s">
        <v>422</v>
      </c>
      <c r="AR408" s="1">
        <v>44091</v>
      </c>
      <c r="AX408">
        <v>11</v>
      </c>
      <c r="AY408">
        <v>652322</v>
      </c>
      <c r="AZ408">
        <v>5515785</v>
      </c>
      <c r="BA408">
        <v>464</v>
      </c>
      <c r="BB408" t="s">
        <v>421</v>
      </c>
      <c r="BC408" t="s">
        <v>421</v>
      </c>
      <c r="BD408" t="s">
        <v>94</v>
      </c>
      <c r="BF408" t="s">
        <v>420</v>
      </c>
      <c r="BG408">
        <v>2</v>
      </c>
      <c r="BM408">
        <v>0</v>
      </c>
      <c r="BN408">
        <v>0</v>
      </c>
      <c r="BO408">
        <v>0</v>
      </c>
      <c r="BP408">
        <v>0</v>
      </c>
      <c r="BQ408">
        <v>0</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DE408" t="s">
        <v>0</v>
      </c>
    </row>
    <row r="409" spans="1:109" hidden="1" x14ac:dyDescent="0.35">
      <c r="A409">
        <v>197543</v>
      </c>
      <c r="B409">
        <v>197543</v>
      </c>
      <c r="D409" t="s">
        <v>121</v>
      </c>
      <c r="E409" t="s">
        <v>99</v>
      </c>
      <c r="F409" t="s">
        <v>98</v>
      </c>
      <c r="G409" t="s">
        <v>97</v>
      </c>
      <c r="J409">
        <v>356547712</v>
      </c>
      <c r="K409" t="s">
        <v>419</v>
      </c>
      <c r="L409" t="s">
        <v>386</v>
      </c>
      <c r="M409" t="s">
        <v>13</v>
      </c>
      <c r="P409" t="s">
        <v>5</v>
      </c>
      <c r="Q409" t="s">
        <v>4</v>
      </c>
      <c r="R409" t="s">
        <v>12</v>
      </c>
      <c r="S409" t="s">
        <v>2</v>
      </c>
      <c r="AI409" t="s">
        <v>418</v>
      </c>
      <c r="AJ409" t="s">
        <v>417</v>
      </c>
      <c r="AK409" t="s">
        <v>416</v>
      </c>
      <c r="AM409" t="s">
        <v>114</v>
      </c>
      <c r="AN409" t="s">
        <v>202</v>
      </c>
      <c r="AO409" t="s">
        <v>386</v>
      </c>
      <c r="AP409" t="s">
        <v>15</v>
      </c>
      <c r="AQ409" t="s">
        <v>415</v>
      </c>
      <c r="AR409" s="1">
        <v>44096</v>
      </c>
      <c r="AX409">
        <v>11</v>
      </c>
      <c r="AY409">
        <v>634970</v>
      </c>
      <c r="AZ409">
        <v>5484827</v>
      </c>
      <c r="BA409">
        <v>689</v>
      </c>
      <c r="BB409" t="s">
        <v>414</v>
      </c>
      <c r="BC409" t="s">
        <v>414</v>
      </c>
      <c r="BD409" t="s">
        <v>94</v>
      </c>
      <c r="BF409" t="s">
        <v>413</v>
      </c>
      <c r="BG409">
        <v>2</v>
      </c>
      <c r="BM409">
        <v>0</v>
      </c>
      <c r="BN409">
        <v>0</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0</v>
      </c>
      <c r="CH409">
        <v>0</v>
      </c>
      <c r="CI409">
        <v>0</v>
      </c>
      <c r="CJ409">
        <v>0</v>
      </c>
      <c r="CK409">
        <v>0</v>
      </c>
      <c r="CL409">
        <v>0</v>
      </c>
      <c r="CM409">
        <v>0</v>
      </c>
      <c r="CN409">
        <v>0</v>
      </c>
      <c r="CO409">
        <v>0</v>
      </c>
      <c r="CP409">
        <v>0</v>
      </c>
      <c r="CQ409">
        <v>0</v>
      </c>
      <c r="CR409">
        <v>0</v>
      </c>
      <c r="CS409">
        <v>0</v>
      </c>
      <c r="CT409">
        <v>0</v>
      </c>
      <c r="DE409" t="s">
        <v>0</v>
      </c>
    </row>
    <row r="410" spans="1:109" hidden="1" x14ac:dyDescent="0.35">
      <c r="A410">
        <v>197552</v>
      </c>
      <c r="B410">
        <v>197552</v>
      </c>
      <c r="D410" t="s">
        <v>121</v>
      </c>
      <c r="E410" t="s">
        <v>99</v>
      </c>
      <c r="F410" t="s">
        <v>104</v>
      </c>
      <c r="G410" t="s">
        <v>119</v>
      </c>
      <c r="H410" t="s">
        <v>409</v>
      </c>
      <c r="J410">
        <v>356545046</v>
      </c>
      <c r="K410" t="s">
        <v>19</v>
      </c>
      <c r="L410" t="s">
        <v>412</v>
      </c>
      <c r="M410" t="s">
        <v>39</v>
      </c>
      <c r="P410" t="s">
        <v>5</v>
      </c>
      <c r="Q410" t="s">
        <v>4</v>
      </c>
      <c r="R410" t="s">
        <v>52</v>
      </c>
      <c r="S410" t="s">
        <v>2</v>
      </c>
      <c r="V410" t="s">
        <v>51</v>
      </c>
      <c r="AI410" t="s">
        <v>411</v>
      </c>
      <c r="AK410" t="s">
        <v>410</v>
      </c>
      <c r="AL410">
        <v>4605707</v>
      </c>
      <c r="AM410" t="s">
        <v>114</v>
      </c>
      <c r="AN410" t="s">
        <v>113</v>
      </c>
      <c r="AO410" t="s">
        <v>409</v>
      </c>
      <c r="AP410" t="s">
        <v>19</v>
      </c>
      <c r="AQ410" t="s">
        <v>408</v>
      </c>
      <c r="AR410" s="1">
        <v>44090</v>
      </c>
      <c r="AX410">
        <v>11</v>
      </c>
      <c r="AY410">
        <v>643982</v>
      </c>
      <c r="AZ410">
        <v>5561133</v>
      </c>
      <c r="BA410">
        <v>339</v>
      </c>
      <c r="BB410" t="s">
        <v>407</v>
      </c>
      <c r="BC410" t="s">
        <v>407</v>
      </c>
      <c r="BD410" t="s">
        <v>94</v>
      </c>
      <c r="BF410" t="s">
        <v>406</v>
      </c>
      <c r="BG410">
        <v>2</v>
      </c>
      <c r="BM410">
        <v>0</v>
      </c>
      <c r="BN410">
        <v>0</v>
      </c>
      <c r="BO410">
        <v>0</v>
      </c>
      <c r="BP410">
        <v>0</v>
      </c>
      <c r="BQ410">
        <v>0</v>
      </c>
      <c r="BR410">
        <v>0</v>
      </c>
      <c r="BS410">
        <v>0</v>
      </c>
      <c r="BT410">
        <v>0</v>
      </c>
      <c r="BU410">
        <v>0</v>
      </c>
      <c r="BV410">
        <v>0</v>
      </c>
      <c r="BW410">
        <v>0</v>
      </c>
      <c r="BX410">
        <v>0</v>
      </c>
      <c r="BY410">
        <v>0</v>
      </c>
      <c r="BZ410">
        <v>0</v>
      </c>
      <c r="CA410">
        <v>0</v>
      </c>
      <c r="CB410">
        <v>0</v>
      </c>
      <c r="CC410">
        <v>0</v>
      </c>
      <c r="CD410">
        <v>0</v>
      </c>
      <c r="CE410">
        <v>0</v>
      </c>
      <c r="CF410">
        <v>0</v>
      </c>
      <c r="CG410">
        <v>0</v>
      </c>
      <c r="CH410">
        <v>0</v>
      </c>
      <c r="CI410">
        <v>0</v>
      </c>
      <c r="CJ410">
        <v>0</v>
      </c>
      <c r="CK410">
        <v>0</v>
      </c>
      <c r="CL410">
        <v>0</v>
      </c>
      <c r="CM410">
        <v>0</v>
      </c>
      <c r="CN410">
        <v>0</v>
      </c>
      <c r="CO410">
        <v>0</v>
      </c>
      <c r="CP410">
        <v>0</v>
      </c>
      <c r="CQ410">
        <v>0</v>
      </c>
      <c r="CR410">
        <v>0</v>
      </c>
      <c r="CS410">
        <v>0</v>
      </c>
      <c r="CT410">
        <v>0</v>
      </c>
      <c r="DE410" t="s">
        <v>0</v>
      </c>
    </row>
    <row r="411" spans="1:109" hidden="1" x14ac:dyDescent="0.35">
      <c r="A411">
        <v>197556</v>
      </c>
      <c r="B411">
        <v>197556</v>
      </c>
      <c r="D411" t="s">
        <v>121</v>
      </c>
      <c r="E411" t="s">
        <v>120</v>
      </c>
      <c r="F411" t="s">
        <v>104</v>
      </c>
      <c r="G411" t="s">
        <v>103</v>
      </c>
      <c r="H411" t="s">
        <v>168</v>
      </c>
      <c r="J411">
        <v>356507537</v>
      </c>
      <c r="K411" t="s">
        <v>19</v>
      </c>
      <c r="L411" t="s">
        <v>165</v>
      </c>
      <c r="M411" t="s">
        <v>39</v>
      </c>
      <c r="P411" t="s">
        <v>5</v>
      </c>
      <c r="Q411" t="s">
        <v>4</v>
      </c>
      <c r="R411" t="s">
        <v>52</v>
      </c>
      <c r="S411" t="s">
        <v>2</v>
      </c>
      <c r="V411" t="s">
        <v>51</v>
      </c>
      <c r="AI411" t="s">
        <v>405</v>
      </c>
      <c r="AK411" t="s">
        <v>404</v>
      </c>
      <c r="AL411">
        <v>4600090</v>
      </c>
      <c r="AM411" t="s">
        <v>114</v>
      </c>
      <c r="AN411" t="s">
        <v>113</v>
      </c>
      <c r="AO411" t="s">
        <v>165</v>
      </c>
      <c r="AP411" t="s">
        <v>19</v>
      </c>
      <c r="AQ411" t="s">
        <v>403</v>
      </c>
      <c r="AR411" s="1">
        <v>44091</v>
      </c>
      <c r="AX411">
        <v>11</v>
      </c>
      <c r="AY411">
        <v>651834</v>
      </c>
      <c r="AZ411">
        <v>5519598</v>
      </c>
      <c r="BA411">
        <v>256</v>
      </c>
      <c r="BB411" t="s">
        <v>217</v>
      </c>
      <c r="BC411" t="s">
        <v>217</v>
      </c>
      <c r="BD411" t="s">
        <v>94</v>
      </c>
      <c r="BE411" t="s">
        <v>216</v>
      </c>
      <c r="BF411" t="s">
        <v>402</v>
      </c>
      <c r="BG411">
        <v>2</v>
      </c>
      <c r="BM411">
        <v>0</v>
      </c>
      <c r="BN411">
        <v>0</v>
      </c>
      <c r="BO411">
        <v>0</v>
      </c>
      <c r="BP411">
        <v>0</v>
      </c>
      <c r="BQ411">
        <v>0</v>
      </c>
      <c r="BR411">
        <v>0</v>
      </c>
      <c r="BS411">
        <v>0</v>
      </c>
      <c r="BT411">
        <v>0</v>
      </c>
      <c r="BU411">
        <v>0</v>
      </c>
      <c r="BV411">
        <v>0</v>
      </c>
      <c r="BW411">
        <v>0</v>
      </c>
      <c r="BX411">
        <v>0</v>
      </c>
      <c r="BY411">
        <v>0</v>
      </c>
      <c r="BZ411">
        <v>0</v>
      </c>
      <c r="CA411">
        <v>0</v>
      </c>
      <c r="CB411">
        <v>0</v>
      </c>
      <c r="CC411">
        <v>0</v>
      </c>
      <c r="CD411">
        <v>0</v>
      </c>
      <c r="CE411">
        <v>0</v>
      </c>
      <c r="CF411">
        <v>0</v>
      </c>
      <c r="CG411">
        <v>0</v>
      </c>
      <c r="CH411">
        <v>0</v>
      </c>
      <c r="CI411">
        <v>0</v>
      </c>
      <c r="CJ411">
        <v>0</v>
      </c>
      <c r="CK411">
        <v>0</v>
      </c>
      <c r="CL411">
        <v>0</v>
      </c>
      <c r="CM411">
        <v>0</v>
      </c>
      <c r="CN411">
        <v>0</v>
      </c>
      <c r="CO411">
        <v>0</v>
      </c>
      <c r="CP411">
        <v>0</v>
      </c>
      <c r="CQ411">
        <v>0</v>
      </c>
      <c r="CR411">
        <v>0</v>
      </c>
      <c r="CS411">
        <v>0</v>
      </c>
      <c r="CT411">
        <v>0</v>
      </c>
      <c r="DE411" t="s">
        <v>0</v>
      </c>
    </row>
    <row r="412" spans="1:109" hidden="1" x14ac:dyDescent="0.35">
      <c r="A412">
        <v>197560</v>
      </c>
      <c r="B412">
        <v>197560</v>
      </c>
      <c r="D412" t="s">
        <v>121</v>
      </c>
      <c r="E412" t="s">
        <v>120</v>
      </c>
      <c r="F412" t="s">
        <v>104</v>
      </c>
      <c r="G412" t="s">
        <v>119</v>
      </c>
      <c r="H412" t="s">
        <v>401</v>
      </c>
      <c r="J412">
        <v>356485958</v>
      </c>
      <c r="K412" t="s">
        <v>19</v>
      </c>
      <c r="L412" t="s">
        <v>400</v>
      </c>
      <c r="M412" t="s">
        <v>39</v>
      </c>
      <c r="P412" t="s">
        <v>5</v>
      </c>
      <c r="Q412" t="s">
        <v>4</v>
      </c>
      <c r="R412" t="s">
        <v>52</v>
      </c>
      <c r="S412" t="s">
        <v>2</v>
      </c>
      <c r="V412" t="s">
        <v>51</v>
      </c>
      <c r="AI412" t="s">
        <v>399</v>
      </c>
      <c r="AK412" t="s">
        <v>398</v>
      </c>
      <c r="AL412">
        <v>4600181</v>
      </c>
      <c r="AM412" t="s">
        <v>114</v>
      </c>
      <c r="AN412" t="s">
        <v>113</v>
      </c>
      <c r="AO412" t="s">
        <v>397</v>
      </c>
      <c r="AP412" t="s">
        <v>19</v>
      </c>
      <c r="AQ412" t="s">
        <v>396</v>
      </c>
      <c r="AR412" s="1">
        <v>44092</v>
      </c>
      <c r="AX412">
        <v>11</v>
      </c>
      <c r="AY412">
        <v>652322</v>
      </c>
      <c r="AZ412">
        <v>5527530</v>
      </c>
      <c r="BA412">
        <v>457</v>
      </c>
      <c r="BB412" t="s">
        <v>395</v>
      </c>
      <c r="BC412" t="s">
        <v>395</v>
      </c>
      <c r="BD412" t="s">
        <v>94</v>
      </c>
      <c r="BF412" t="s">
        <v>394</v>
      </c>
      <c r="BG412">
        <v>2</v>
      </c>
      <c r="BM412">
        <v>0</v>
      </c>
      <c r="BN412">
        <v>0</v>
      </c>
      <c r="BO412">
        <v>0</v>
      </c>
      <c r="BP412">
        <v>0</v>
      </c>
      <c r="BQ412">
        <v>0</v>
      </c>
      <c r="BR412">
        <v>0</v>
      </c>
      <c r="BS412">
        <v>0</v>
      </c>
      <c r="BT412">
        <v>0</v>
      </c>
      <c r="BU412">
        <v>0</v>
      </c>
      <c r="BV412">
        <v>0</v>
      </c>
      <c r="BW412">
        <v>0</v>
      </c>
      <c r="BX412">
        <v>0</v>
      </c>
      <c r="BY412">
        <v>0</v>
      </c>
      <c r="BZ412">
        <v>0</v>
      </c>
      <c r="CA412">
        <v>0</v>
      </c>
      <c r="CB412">
        <v>0</v>
      </c>
      <c r="CC412">
        <v>0</v>
      </c>
      <c r="CD412">
        <v>0</v>
      </c>
      <c r="CE412">
        <v>0</v>
      </c>
      <c r="CF412">
        <v>0</v>
      </c>
      <c r="CG412">
        <v>0</v>
      </c>
      <c r="CH412">
        <v>0</v>
      </c>
      <c r="CI412">
        <v>0</v>
      </c>
      <c r="CJ412">
        <v>0</v>
      </c>
      <c r="CK412">
        <v>0</v>
      </c>
      <c r="CL412">
        <v>0</v>
      </c>
      <c r="CM412">
        <v>0</v>
      </c>
      <c r="CN412">
        <v>0</v>
      </c>
      <c r="CO412">
        <v>0</v>
      </c>
      <c r="CP412">
        <v>0</v>
      </c>
      <c r="CQ412">
        <v>0</v>
      </c>
      <c r="CR412">
        <v>0</v>
      </c>
      <c r="CS412">
        <v>0</v>
      </c>
      <c r="CT412">
        <v>0</v>
      </c>
      <c r="DE412" t="s">
        <v>0</v>
      </c>
    </row>
    <row r="413" spans="1:109" hidden="1" x14ac:dyDescent="0.35">
      <c r="A413">
        <v>197563</v>
      </c>
      <c r="B413">
        <v>197563</v>
      </c>
      <c r="D413" t="s">
        <v>121</v>
      </c>
      <c r="E413" t="s">
        <v>99</v>
      </c>
      <c r="F413" t="s">
        <v>258</v>
      </c>
      <c r="G413" t="s">
        <v>97</v>
      </c>
      <c r="J413">
        <v>356528119</v>
      </c>
      <c r="K413" t="s">
        <v>293</v>
      </c>
      <c r="L413" t="s">
        <v>26</v>
      </c>
      <c r="M413" t="s">
        <v>70</v>
      </c>
      <c r="P413" t="s">
        <v>5</v>
      </c>
      <c r="Q413" t="s">
        <v>4</v>
      </c>
      <c r="R413" t="s">
        <v>12</v>
      </c>
      <c r="S413" t="s">
        <v>2</v>
      </c>
      <c r="AI413" t="s">
        <v>393</v>
      </c>
      <c r="AK413" t="s">
        <v>392</v>
      </c>
      <c r="AL413">
        <v>4601129</v>
      </c>
      <c r="AM413" t="s">
        <v>114</v>
      </c>
      <c r="AN413" t="s">
        <v>256</v>
      </c>
      <c r="AP413" t="s">
        <v>293</v>
      </c>
      <c r="AQ413" t="s">
        <v>391</v>
      </c>
      <c r="AR413" s="1">
        <v>44094</v>
      </c>
      <c r="AX413">
        <v>11</v>
      </c>
      <c r="AY413">
        <v>661061</v>
      </c>
      <c r="AZ413">
        <v>5524438</v>
      </c>
      <c r="BA413">
        <v>9857</v>
      </c>
      <c r="BB413" t="s">
        <v>295</v>
      </c>
      <c r="BC413" t="s">
        <v>294</v>
      </c>
      <c r="BD413" t="s">
        <v>94</v>
      </c>
      <c r="BE413" t="s">
        <v>293</v>
      </c>
      <c r="BF413" t="s">
        <v>390</v>
      </c>
      <c r="BG413">
        <v>2</v>
      </c>
      <c r="BM413">
        <v>0</v>
      </c>
      <c r="BN413">
        <v>0</v>
      </c>
      <c r="BO413">
        <v>0</v>
      </c>
      <c r="BP413">
        <v>0</v>
      </c>
      <c r="BQ413">
        <v>0</v>
      </c>
      <c r="BR413">
        <v>0</v>
      </c>
      <c r="BS413">
        <v>0</v>
      </c>
      <c r="BT413">
        <v>0</v>
      </c>
      <c r="BU413">
        <v>0</v>
      </c>
      <c r="BV413">
        <v>0</v>
      </c>
      <c r="BW413">
        <v>0</v>
      </c>
      <c r="BX413">
        <v>0</v>
      </c>
      <c r="BY413">
        <v>0</v>
      </c>
      <c r="BZ413">
        <v>0</v>
      </c>
      <c r="CA413">
        <v>0</v>
      </c>
      <c r="CB413">
        <v>0</v>
      </c>
      <c r="CC413">
        <v>0</v>
      </c>
      <c r="CD413">
        <v>0</v>
      </c>
      <c r="CE413">
        <v>0</v>
      </c>
      <c r="CF413">
        <v>0</v>
      </c>
      <c r="CG413">
        <v>0</v>
      </c>
      <c r="CH413">
        <v>0</v>
      </c>
      <c r="CI413">
        <v>0</v>
      </c>
      <c r="CJ413">
        <v>0</v>
      </c>
      <c r="CK413">
        <v>1.10000064040724</v>
      </c>
      <c r="CL413">
        <v>1.20800064040738</v>
      </c>
      <c r="CM413">
        <v>0</v>
      </c>
      <c r="CN413">
        <v>0.11</v>
      </c>
      <c r="CO413">
        <v>1.1000000000000001</v>
      </c>
      <c r="CP413">
        <v>1.1000000000000001</v>
      </c>
      <c r="CQ413">
        <v>1.21</v>
      </c>
      <c r="CR413">
        <v>1.21</v>
      </c>
      <c r="CS413">
        <v>1.21</v>
      </c>
      <c r="CT413">
        <v>1.21</v>
      </c>
      <c r="DE413" t="s">
        <v>0</v>
      </c>
    </row>
    <row r="414" spans="1:109" hidden="1" x14ac:dyDescent="0.35">
      <c r="A414">
        <v>197566</v>
      </c>
      <c r="B414">
        <v>197566</v>
      </c>
      <c r="D414" t="s">
        <v>121</v>
      </c>
      <c r="E414" t="s">
        <v>99</v>
      </c>
      <c r="F414" t="s">
        <v>98</v>
      </c>
      <c r="G414" t="s">
        <v>97</v>
      </c>
      <c r="J414">
        <v>356495130</v>
      </c>
      <c r="K414" t="s">
        <v>15</v>
      </c>
      <c r="L414" t="s">
        <v>386</v>
      </c>
      <c r="M414" t="s">
        <v>13</v>
      </c>
      <c r="P414" t="s">
        <v>5</v>
      </c>
      <c r="Q414" t="s">
        <v>4</v>
      </c>
      <c r="R414" t="s">
        <v>12</v>
      </c>
      <c r="S414" t="s">
        <v>2</v>
      </c>
      <c r="AB414" s="1">
        <v>46112</v>
      </c>
      <c r="AI414" t="s">
        <v>389</v>
      </c>
      <c r="AJ414" t="s">
        <v>388</v>
      </c>
      <c r="AK414" t="s">
        <v>387</v>
      </c>
      <c r="AM414" t="s">
        <v>114</v>
      </c>
      <c r="AN414" t="s">
        <v>202</v>
      </c>
      <c r="AO414" t="s">
        <v>386</v>
      </c>
      <c r="AP414" t="s">
        <v>15</v>
      </c>
      <c r="AQ414" t="s">
        <v>385</v>
      </c>
      <c r="AR414" s="1">
        <v>44097</v>
      </c>
      <c r="AX414">
        <v>11</v>
      </c>
      <c r="AY414">
        <v>636051</v>
      </c>
      <c r="AZ414">
        <v>5484422</v>
      </c>
      <c r="BA414">
        <v>538</v>
      </c>
      <c r="BB414" t="s">
        <v>384</v>
      </c>
      <c r="BC414" t="s">
        <v>383</v>
      </c>
      <c r="BD414" t="s">
        <v>94</v>
      </c>
      <c r="BF414" t="s">
        <v>382</v>
      </c>
      <c r="BG414">
        <v>2</v>
      </c>
      <c r="BM414">
        <v>0</v>
      </c>
      <c r="BN414">
        <v>0</v>
      </c>
      <c r="BO414">
        <v>0</v>
      </c>
      <c r="BP414">
        <v>0</v>
      </c>
      <c r="BQ414">
        <v>0</v>
      </c>
      <c r="BR414">
        <v>0</v>
      </c>
      <c r="BS414">
        <v>0</v>
      </c>
      <c r="BT414">
        <v>0</v>
      </c>
      <c r="BU414">
        <v>0</v>
      </c>
      <c r="BV414">
        <v>0</v>
      </c>
      <c r="BW414">
        <v>0</v>
      </c>
      <c r="BX414">
        <v>0</v>
      </c>
      <c r="BY414">
        <v>0</v>
      </c>
      <c r="BZ414">
        <v>0</v>
      </c>
      <c r="CA414">
        <v>0</v>
      </c>
      <c r="CB414">
        <v>0</v>
      </c>
      <c r="CC414">
        <v>0</v>
      </c>
      <c r="CD414">
        <v>0</v>
      </c>
      <c r="CE414">
        <v>0</v>
      </c>
      <c r="CF414">
        <v>0</v>
      </c>
      <c r="CG414">
        <v>0</v>
      </c>
      <c r="CH414">
        <v>0</v>
      </c>
      <c r="CI414">
        <v>0</v>
      </c>
      <c r="CJ414">
        <v>0</v>
      </c>
      <c r="CK414">
        <v>0</v>
      </c>
      <c r="CL414">
        <v>0</v>
      </c>
      <c r="CM414">
        <v>0</v>
      </c>
      <c r="CN414">
        <v>0</v>
      </c>
      <c r="CO414">
        <v>0</v>
      </c>
      <c r="CP414">
        <v>0</v>
      </c>
      <c r="CQ414">
        <v>0</v>
      </c>
      <c r="CR414">
        <v>0</v>
      </c>
      <c r="CS414">
        <v>0</v>
      </c>
      <c r="CT414">
        <v>0</v>
      </c>
      <c r="DE414" t="s">
        <v>0</v>
      </c>
    </row>
    <row r="415" spans="1:109" hidden="1" x14ac:dyDescent="0.35">
      <c r="A415">
        <v>197573</v>
      </c>
      <c r="B415">
        <v>197573</v>
      </c>
      <c r="D415" t="s">
        <v>121</v>
      </c>
      <c r="E415" t="s">
        <v>120</v>
      </c>
      <c r="F415" t="s">
        <v>104</v>
      </c>
      <c r="G415" t="s">
        <v>119</v>
      </c>
      <c r="H415" t="s">
        <v>381</v>
      </c>
      <c r="J415">
        <v>356541034</v>
      </c>
      <c r="K415" t="s">
        <v>19</v>
      </c>
      <c r="L415" t="s">
        <v>378</v>
      </c>
      <c r="M415" t="s">
        <v>39</v>
      </c>
      <c r="P415" t="s">
        <v>38</v>
      </c>
      <c r="Q415" t="s">
        <v>4</v>
      </c>
      <c r="V415" t="s">
        <v>36</v>
      </c>
      <c r="AI415" t="s">
        <v>380</v>
      </c>
      <c r="AK415" t="s">
        <v>379</v>
      </c>
      <c r="AL415">
        <v>4600169</v>
      </c>
      <c r="AM415" t="s">
        <v>114</v>
      </c>
      <c r="AN415" t="s">
        <v>113</v>
      </c>
      <c r="AO415" t="s">
        <v>378</v>
      </c>
      <c r="AP415" t="s">
        <v>19</v>
      </c>
      <c r="AQ415" t="s">
        <v>377</v>
      </c>
      <c r="AR415" s="1">
        <v>44098</v>
      </c>
      <c r="AX415">
        <v>11</v>
      </c>
      <c r="AY415">
        <v>638846</v>
      </c>
      <c r="AZ415">
        <v>5480822</v>
      </c>
      <c r="BA415">
        <v>929</v>
      </c>
      <c r="BB415" t="s">
        <v>152</v>
      </c>
      <c r="BC415" t="s">
        <v>151</v>
      </c>
      <c r="BD415" t="s">
        <v>94</v>
      </c>
      <c r="BF415" t="s">
        <v>376</v>
      </c>
      <c r="BG415">
        <v>2</v>
      </c>
      <c r="BM415">
        <v>0</v>
      </c>
      <c r="BN415">
        <v>0</v>
      </c>
      <c r="BO415">
        <v>0</v>
      </c>
      <c r="BP415">
        <v>0</v>
      </c>
      <c r="BQ415">
        <v>0</v>
      </c>
      <c r="BR415">
        <v>0</v>
      </c>
      <c r="BS415">
        <v>0</v>
      </c>
      <c r="BT415">
        <v>0</v>
      </c>
      <c r="BU415">
        <v>0</v>
      </c>
      <c r="BV415">
        <v>0</v>
      </c>
      <c r="BW415">
        <v>0</v>
      </c>
      <c r="BX415">
        <v>0</v>
      </c>
      <c r="BY415">
        <v>0</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0</v>
      </c>
      <c r="CS415">
        <v>0</v>
      </c>
      <c r="CT415">
        <v>0</v>
      </c>
      <c r="DE415" t="s">
        <v>0</v>
      </c>
    </row>
    <row r="416" spans="1:109" hidden="1" x14ac:dyDescent="0.35">
      <c r="A416">
        <v>197724</v>
      </c>
      <c r="D416" t="s">
        <v>121</v>
      </c>
      <c r="E416" t="s">
        <v>99</v>
      </c>
      <c r="F416" t="s">
        <v>98</v>
      </c>
      <c r="G416" t="s">
        <v>97</v>
      </c>
      <c r="J416">
        <v>356535965</v>
      </c>
      <c r="AM416" t="s">
        <v>114</v>
      </c>
      <c r="AN416" t="s">
        <v>202</v>
      </c>
      <c r="AO416" t="s">
        <v>14</v>
      </c>
      <c r="AP416" t="s">
        <v>375</v>
      </c>
      <c r="AQ416" t="s">
        <v>374</v>
      </c>
      <c r="AR416" s="1">
        <v>44120</v>
      </c>
      <c r="AX416">
        <v>11</v>
      </c>
      <c r="AY416">
        <v>638061</v>
      </c>
      <c r="AZ416">
        <v>5483498</v>
      </c>
      <c r="BA416">
        <v>309</v>
      </c>
      <c r="BB416" t="s">
        <v>373</v>
      </c>
      <c r="BC416" t="s">
        <v>373</v>
      </c>
      <c r="BD416" t="s">
        <v>94</v>
      </c>
      <c r="BF416" t="s">
        <v>372</v>
      </c>
      <c r="BG416">
        <v>2</v>
      </c>
      <c r="BM416">
        <v>0</v>
      </c>
      <c r="BN416">
        <v>0</v>
      </c>
      <c r="BO416">
        <v>0</v>
      </c>
      <c r="BP416">
        <v>0</v>
      </c>
      <c r="BQ416">
        <v>0</v>
      </c>
      <c r="BR416">
        <v>0</v>
      </c>
      <c r="BS416">
        <v>0</v>
      </c>
      <c r="BT416">
        <v>0</v>
      </c>
      <c r="BU416">
        <v>0</v>
      </c>
      <c r="BV416">
        <v>0</v>
      </c>
      <c r="BW416">
        <v>0</v>
      </c>
      <c r="BX416">
        <v>0</v>
      </c>
      <c r="BY416">
        <v>0</v>
      </c>
      <c r="BZ416">
        <v>0</v>
      </c>
      <c r="CA416">
        <v>0</v>
      </c>
      <c r="CB416">
        <v>0</v>
      </c>
      <c r="CC416">
        <v>0</v>
      </c>
      <c r="CD416">
        <v>0</v>
      </c>
      <c r="CE416">
        <v>0</v>
      </c>
      <c r="CF416">
        <v>0</v>
      </c>
      <c r="CG416">
        <v>0</v>
      </c>
      <c r="CH416">
        <v>0</v>
      </c>
      <c r="CI416">
        <v>0</v>
      </c>
      <c r="CJ416">
        <v>0</v>
      </c>
      <c r="CK416">
        <v>0</v>
      </c>
      <c r="CL416">
        <v>0.245000000000067</v>
      </c>
      <c r="CM416">
        <v>0</v>
      </c>
      <c r="CN416">
        <v>0.25</v>
      </c>
      <c r="CO416">
        <v>0</v>
      </c>
      <c r="CP416">
        <v>0</v>
      </c>
      <c r="CQ416">
        <v>0.25</v>
      </c>
      <c r="CR416">
        <v>0.25</v>
      </c>
      <c r="CS416">
        <v>0.25</v>
      </c>
      <c r="CT416">
        <v>0.25</v>
      </c>
      <c r="DE416" t="s">
        <v>0</v>
      </c>
    </row>
    <row r="417" spans="1:109" hidden="1" x14ac:dyDescent="0.35">
      <c r="A417">
        <v>197727</v>
      </c>
      <c r="B417">
        <v>197727</v>
      </c>
      <c r="D417" t="s">
        <v>121</v>
      </c>
      <c r="E417" t="s">
        <v>99</v>
      </c>
      <c r="F417" t="s">
        <v>258</v>
      </c>
      <c r="G417" t="s">
        <v>97</v>
      </c>
      <c r="H417" t="s">
        <v>352</v>
      </c>
      <c r="J417">
        <v>356568905</v>
      </c>
      <c r="K417" t="s">
        <v>344</v>
      </c>
      <c r="L417" t="s">
        <v>356</v>
      </c>
      <c r="M417" t="s">
        <v>70</v>
      </c>
      <c r="P417" t="s">
        <v>5</v>
      </c>
      <c r="Q417" t="s">
        <v>4</v>
      </c>
      <c r="R417" t="s">
        <v>12</v>
      </c>
      <c r="S417" t="s">
        <v>2</v>
      </c>
      <c r="AI417" t="s">
        <v>68</v>
      </c>
      <c r="AK417" t="s">
        <v>371</v>
      </c>
      <c r="AL417">
        <v>4606006</v>
      </c>
      <c r="AM417" t="s">
        <v>114</v>
      </c>
      <c r="AN417" t="s">
        <v>256</v>
      </c>
      <c r="AO417" t="s">
        <v>356</v>
      </c>
      <c r="AP417" t="s">
        <v>344</v>
      </c>
      <c r="AQ417" t="s">
        <v>370</v>
      </c>
      <c r="AR417" s="1">
        <v>44121</v>
      </c>
      <c r="AX417">
        <v>11</v>
      </c>
      <c r="AY417">
        <v>649095</v>
      </c>
      <c r="AZ417">
        <v>5531756</v>
      </c>
      <c r="BA417">
        <v>2268</v>
      </c>
      <c r="BB417" t="s">
        <v>345</v>
      </c>
      <c r="BC417" t="s">
        <v>345</v>
      </c>
      <c r="BD417" t="s">
        <v>94</v>
      </c>
      <c r="BE417" t="s">
        <v>344</v>
      </c>
      <c r="BF417" t="s">
        <v>343</v>
      </c>
      <c r="BG417">
        <v>2</v>
      </c>
      <c r="BH417" t="s">
        <v>342</v>
      </c>
      <c r="BI417">
        <v>2</v>
      </c>
      <c r="BM417">
        <v>0</v>
      </c>
      <c r="BN417">
        <v>0</v>
      </c>
      <c r="BO417">
        <v>0</v>
      </c>
      <c r="BP417">
        <v>0</v>
      </c>
      <c r="BQ417">
        <v>0</v>
      </c>
      <c r="BR417">
        <v>0</v>
      </c>
      <c r="BS417">
        <v>0</v>
      </c>
      <c r="BT417">
        <v>0</v>
      </c>
      <c r="BU417">
        <v>0</v>
      </c>
      <c r="BV417">
        <v>0</v>
      </c>
      <c r="BW417">
        <v>0</v>
      </c>
      <c r="BX417">
        <v>0</v>
      </c>
      <c r="BY417">
        <v>0</v>
      </c>
      <c r="BZ417">
        <v>0</v>
      </c>
      <c r="CA417">
        <v>0</v>
      </c>
      <c r="CB417">
        <v>0</v>
      </c>
      <c r="CC417">
        <v>0</v>
      </c>
      <c r="CD417">
        <v>0</v>
      </c>
      <c r="CE417">
        <v>0</v>
      </c>
      <c r="CF417">
        <v>0</v>
      </c>
      <c r="CG417">
        <v>0</v>
      </c>
      <c r="CH417">
        <v>0</v>
      </c>
      <c r="CI417">
        <v>0</v>
      </c>
      <c r="CJ417">
        <v>0</v>
      </c>
      <c r="CK417">
        <v>7.0649348213531802</v>
      </c>
      <c r="CL417">
        <v>9.9419001687444695</v>
      </c>
      <c r="CM417">
        <v>7.06</v>
      </c>
      <c r="CN417">
        <v>9.1300000000000008</v>
      </c>
      <c r="CO417">
        <v>7.06</v>
      </c>
      <c r="CP417">
        <v>7.06</v>
      </c>
      <c r="CQ417">
        <v>9.94</v>
      </c>
      <c r="CR417">
        <v>9.94</v>
      </c>
      <c r="CS417">
        <v>9.94</v>
      </c>
      <c r="CT417">
        <v>9.94</v>
      </c>
      <c r="DE417" t="s">
        <v>0</v>
      </c>
    </row>
    <row r="418" spans="1:109" hidden="1" x14ac:dyDescent="0.35">
      <c r="A418">
        <v>197803</v>
      </c>
      <c r="B418">
        <v>197803</v>
      </c>
      <c r="D418" t="s">
        <v>121</v>
      </c>
      <c r="E418" t="s">
        <v>99</v>
      </c>
      <c r="F418" t="s">
        <v>258</v>
      </c>
      <c r="G418" t="s">
        <v>97</v>
      </c>
      <c r="J418">
        <v>356553439</v>
      </c>
      <c r="K418" t="s">
        <v>364</v>
      </c>
      <c r="L418" t="s">
        <v>26</v>
      </c>
      <c r="M418" t="s">
        <v>70</v>
      </c>
      <c r="N418" t="s">
        <v>69</v>
      </c>
      <c r="P418" t="s">
        <v>5</v>
      </c>
      <c r="Q418" t="s">
        <v>4</v>
      </c>
      <c r="R418" t="s">
        <v>12</v>
      </c>
      <c r="S418" t="s">
        <v>2</v>
      </c>
      <c r="AI418" t="s">
        <v>68</v>
      </c>
      <c r="AJ418" t="s">
        <v>369</v>
      </c>
      <c r="AK418" t="s">
        <v>368</v>
      </c>
      <c r="AL418">
        <v>4602514</v>
      </c>
      <c r="AM418" t="s">
        <v>114</v>
      </c>
      <c r="AN418" t="s">
        <v>256</v>
      </c>
      <c r="AP418" t="s">
        <v>364</v>
      </c>
      <c r="AQ418" t="s">
        <v>367</v>
      </c>
      <c r="AR418" s="1">
        <v>44468</v>
      </c>
      <c r="AX418">
        <v>11</v>
      </c>
      <c r="AY418">
        <v>659393</v>
      </c>
      <c r="AZ418">
        <v>5517830</v>
      </c>
      <c r="BA418">
        <v>6108</v>
      </c>
      <c r="BB418" t="s">
        <v>366</v>
      </c>
      <c r="BC418" t="s">
        <v>365</v>
      </c>
      <c r="BD418" t="s">
        <v>94</v>
      </c>
      <c r="BE418" t="s">
        <v>364</v>
      </c>
      <c r="BF418" t="s">
        <v>363</v>
      </c>
      <c r="BG418">
        <v>2</v>
      </c>
      <c r="BJ418">
        <v>24658290000574</v>
      </c>
      <c r="BK418">
        <v>24658290000574</v>
      </c>
      <c r="BL418">
        <v>24658290000574</v>
      </c>
      <c r="BM418">
        <v>0</v>
      </c>
      <c r="BN418">
        <v>0</v>
      </c>
      <c r="BO418">
        <v>0</v>
      </c>
      <c r="BP418">
        <v>0</v>
      </c>
      <c r="BQ418">
        <v>0</v>
      </c>
      <c r="BR418">
        <v>0</v>
      </c>
      <c r="BS418">
        <v>0</v>
      </c>
      <c r="BT418">
        <v>0</v>
      </c>
      <c r="BU418">
        <v>0</v>
      </c>
      <c r="BV418">
        <v>0</v>
      </c>
      <c r="BW418">
        <v>0</v>
      </c>
      <c r="BX418">
        <v>0</v>
      </c>
      <c r="BY418">
        <v>0</v>
      </c>
      <c r="BZ418">
        <v>0</v>
      </c>
      <c r="CA418">
        <v>0</v>
      </c>
      <c r="CB418">
        <v>0</v>
      </c>
      <c r="CC418">
        <v>0</v>
      </c>
      <c r="CD418">
        <v>0</v>
      </c>
      <c r="CE418">
        <v>0</v>
      </c>
      <c r="CF418">
        <v>0</v>
      </c>
      <c r="CG418">
        <v>0</v>
      </c>
      <c r="CH418">
        <v>0</v>
      </c>
      <c r="CI418">
        <v>0</v>
      </c>
      <c r="CJ418">
        <v>0</v>
      </c>
      <c r="CK418">
        <v>0.233834610927797</v>
      </c>
      <c r="CL418">
        <v>0.233834610927797</v>
      </c>
      <c r="CM418">
        <v>0.23</v>
      </c>
      <c r="CN418">
        <v>0.23</v>
      </c>
      <c r="CO418">
        <v>0.23</v>
      </c>
      <c r="CP418">
        <v>0.23</v>
      </c>
      <c r="CQ418">
        <v>0.23</v>
      </c>
      <c r="CR418">
        <v>0.23</v>
      </c>
      <c r="CS418">
        <v>0.23</v>
      </c>
      <c r="CT418">
        <v>0.23</v>
      </c>
      <c r="DE418" t="s">
        <v>0</v>
      </c>
    </row>
    <row r="419" spans="1:109" hidden="1" x14ac:dyDescent="0.35">
      <c r="A419">
        <v>197816</v>
      </c>
      <c r="B419">
        <v>197816</v>
      </c>
      <c r="D419" t="s">
        <v>121</v>
      </c>
      <c r="E419" t="s">
        <v>99</v>
      </c>
      <c r="F419" t="s">
        <v>258</v>
      </c>
      <c r="G419" t="s">
        <v>97</v>
      </c>
      <c r="J419">
        <v>356568905</v>
      </c>
      <c r="K419" t="s">
        <v>344</v>
      </c>
      <c r="L419" t="s">
        <v>356</v>
      </c>
      <c r="M419" t="s">
        <v>70</v>
      </c>
      <c r="P419" t="s">
        <v>5</v>
      </c>
      <c r="Q419" t="s">
        <v>4</v>
      </c>
      <c r="R419" t="s">
        <v>12</v>
      </c>
      <c r="S419" t="s">
        <v>2</v>
      </c>
      <c r="AI419" t="s">
        <v>68</v>
      </c>
      <c r="AK419" t="s">
        <v>362</v>
      </c>
      <c r="AL419">
        <v>4602949</v>
      </c>
      <c r="AM419" t="s">
        <v>114</v>
      </c>
      <c r="AN419" t="s">
        <v>256</v>
      </c>
      <c r="AO419" t="s">
        <v>356</v>
      </c>
      <c r="AP419" t="s">
        <v>344</v>
      </c>
      <c r="AQ419" t="s">
        <v>361</v>
      </c>
      <c r="AR419" s="1">
        <v>44474</v>
      </c>
      <c r="AX419">
        <v>11</v>
      </c>
      <c r="AY419">
        <v>647247</v>
      </c>
      <c r="AZ419">
        <v>5534524</v>
      </c>
      <c r="BA419">
        <v>5844</v>
      </c>
      <c r="BB419" t="s">
        <v>345</v>
      </c>
      <c r="BC419" t="s">
        <v>360</v>
      </c>
      <c r="BD419" t="s">
        <v>94</v>
      </c>
      <c r="BE419" t="s">
        <v>344</v>
      </c>
      <c r="BF419" t="s">
        <v>343</v>
      </c>
      <c r="BG419">
        <v>2</v>
      </c>
      <c r="BH419">
        <v>1004600508</v>
      </c>
      <c r="BI419">
        <v>1</v>
      </c>
      <c r="BM419">
        <v>0</v>
      </c>
      <c r="BN419">
        <v>0</v>
      </c>
      <c r="BO419">
        <v>0</v>
      </c>
      <c r="BP419">
        <v>0</v>
      </c>
      <c r="BQ419">
        <v>0</v>
      </c>
      <c r="BR419">
        <v>0</v>
      </c>
      <c r="BS419">
        <v>0</v>
      </c>
      <c r="BT419">
        <v>0</v>
      </c>
      <c r="BU419">
        <v>0</v>
      </c>
      <c r="BV419">
        <v>0</v>
      </c>
      <c r="BW419">
        <v>0</v>
      </c>
      <c r="BX419">
        <v>0</v>
      </c>
      <c r="BY419">
        <v>0</v>
      </c>
      <c r="BZ419">
        <v>0</v>
      </c>
      <c r="CA419">
        <v>0</v>
      </c>
      <c r="CB419">
        <v>0</v>
      </c>
      <c r="CC419">
        <v>0</v>
      </c>
      <c r="CD419">
        <v>0</v>
      </c>
      <c r="CE419">
        <v>0</v>
      </c>
      <c r="CF419">
        <v>0</v>
      </c>
      <c r="CG419">
        <v>0</v>
      </c>
      <c r="CH419">
        <v>0</v>
      </c>
      <c r="CI419">
        <v>0</v>
      </c>
      <c r="CJ419">
        <v>0</v>
      </c>
      <c r="CK419">
        <v>4.9452292585929998</v>
      </c>
      <c r="CL419">
        <v>6.5812216566122803</v>
      </c>
      <c r="CM419">
        <v>4.95</v>
      </c>
      <c r="CN419">
        <v>5.77</v>
      </c>
      <c r="CO419">
        <v>4.95</v>
      </c>
      <c r="CP419">
        <v>4.95</v>
      </c>
      <c r="CQ419">
        <v>6.58</v>
      </c>
      <c r="CR419">
        <v>6.58</v>
      </c>
      <c r="CS419">
        <v>6.58</v>
      </c>
      <c r="CT419">
        <v>6.58</v>
      </c>
      <c r="DE419" t="s">
        <v>0</v>
      </c>
    </row>
    <row r="420" spans="1:109" hidden="1" x14ac:dyDescent="0.35">
      <c r="A420">
        <v>197817</v>
      </c>
      <c r="B420">
        <v>197817</v>
      </c>
      <c r="D420" t="s">
        <v>121</v>
      </c>
      <c r="E420" t="s">
        <v>99</v>
      </c>
      <c r="F420" t="s">
        <v>104</v>
      </c>
      <c r="G420" t="s">
        <v>119</v>
      </c>
      <c r="H420" t="s">
        <v>352</v>
      </c>
      <c r="J420">
        <v>356563392</v>
      </c>
      <c r="K420" t="s">
        <v>355</v>
      </c>
      <c r="L420" t="s">
        <v>356</v>
      </c>
      <c r="M420" t="s">
        <v>39</v>
      </c>
      <c r="P420" t="s">
        <v>5</v>
      </c>
      <c r="Q420" t="s">
        <v>4</v>
      </c>
      <c r="R420" t="s">
        <v>52</v>
      </c>
      <c r="S420" t="s">
        <v>2</v>
      </c>
      <c r="V420" t="s">
        <v>51</v>
      </c>
      <c r="AI420" t="s">
        <v>359</v>
      </c>
      <c r="AJ420" t="s">
        <v>358</v>
      </c>
      <c r="AK420" t="s">
        <v>357</v>
      </c>
      <c r="AL420">
        <v>4605995</v>
      </c>
      <c r="AM420" t="s">
        <v>114</v>
      </c>
      <c r="AN420" t="s">
        <v>113</v>
      </c>
      <c r="AO420" t="s">
        <v>356</v>
      </c>
      <c r="AP420" t="s">
        <v>355</v>
      </c>
      <c r="AQ420" t="s">
        <v>354</v>
      </c>
      <c r="AR420" s="1">
        <v>44474</v>
      </c>
      <c r="AX420">
        <v>11</v>
      </c>
      <c r="AY420">
        <v>647526</v>
      </c>
      <c r="AZ420">
        <v>5533149</v>
      </c>
      <c r="BA420">
        <v>311</v>
      </c>
      <c r="BB420" t="s">
        <v>353</v>
      </c>
      <c r="BC420" t="s">
        <v>353</v>
      </c>
      <c r="BD420" t="s">
        <v>94</v>
      </c>
      <c r="BF420" t="s">
        <v>343</v>
      </c>
      <c r="BG420">
        <v>2</v>
      </c>
      <c r="BM420">
        <v>0</v>
      </c>
      <c r="BN420">
        <v>0</v>
      </c>
      <c r="BO420">
        <v>0</v>
      </c>
      <c r="BP420">
        <v>0</v>
      </c>
      <c r="BQ420">
        <v>0</v>
      </c>
      <c r="BR420">
        <v>0</v>
      </c>
      <c r="BS420">
        <v>0</v>
      </c>
      <c r="BT420">
        <v>0</v>
      </c>
      <c r="BU420">
        <v>0</v>
      </c>
      <c r="BV420">
        <v>0</v>
      </c>
      <c r="BW420">
        <v>0</v>
      </c>
      <c r="BX420">
        <v>0</v>
      </c>
      <c r="BY420">
        <v>0</v>
      </c>
      <c r="BZ420">
        <v>0</v>
      </c>
      <c r="CA420">
        <v>0</v>
      </c>
      <c r="CB420">
        <v>0</v>
      </c>
      <c r="CC420">
        <v>0</v>
      </c>
      <c r="CD420">
        <v>0</v>
      </c>
      <c r="CE420">
        <v>0</v>
      </c>
      <c r="CF420">
        <v>0</v>
      </c>
      <c r="CG420">
        <v>0</v>
      </c>
      <c r="CH420">
        <v>0</v>
      </c>
      <c r="CI420">
        <v>0</v>
      </c>
      <c r="CJ420">
        <v>0</v>
      </c>
      <c r="CK420">
        <v>0</v>
      </c>
      <c r="CL420">
        <v>0</v>
      </c>
      <c r="CM420">
        <v>0</v>
      </c>
      <c r="CN420">
        <v>0</v>
      </c>
      <c r="CO420">
        <v>0</v>
      </c>
      <c r="CP420">
        <v>0</v>
      </c>
      <c r="CQ420">
        <v>0</v>
      </c>
      <c r="CR420">
        <v>0</v>
      </c>
      <c r="CS420">
        <v>0</v>
      </c>
      <c r="CT420">
        <v>0</v>
      </c>
      <c r="DE420" t="s">
        <v>0</v>
      </c>
    </row>
    <row r="421" spans="1:109" hidden="1" x14ac:dyDescent="0.35">
      <c r="A421">
        <v>197818</v>
      </c>
      <c r="B421">
        <v>197818</v>
      </c>
      <c r="D421" t="s">
        <v>121</v>
      </c>
      <c r="E421" t="s">
        <v>99</v>
      </c>
      <c r="F421" t="s">
        <v>258</v>
      </c>
      <c r="G421" t="s">
        <v>97</v>
      </c>
      <c r="H421" t="s">
        <v>352</v>
      </c>
      <c r="J421">
        <v>356568905</v>
      </c>
      <c r="K421" t="s">
        <v>344</v>
      </c>
      <c r="L421" t="s">
        <v>273</v>
      </c>
      <c r="M421" t="s">
        <v>70</v>
      </c>
      <c r="P421" t="s">
        <v>5</v>
      </c>
      <c r="Q421" t="s">
        <v>4</v>
      </c>
      <c r="R421" t="s">
        <v>12</v>
      </c>
      <c r="S421" t="s">
        <v>2</v>
      </c>
      <c r="AI421" t="s">
        <v>68</v>
      </c>
      <c r="AJ421" t="s">
        <v>348</v>
      </c>
      <c r="AK421" t="s">
        <v>351</v>
      </c>
      <c r="AL421">
        <v>4606007</v>
      </c>
      <c r="AM421" t="s">
        <v>114</v>
      </c>
      <c r="AN421" t="s">
        <v>256</v>
      </c>
      <c r="AO421" t="s">
        <v>273</v>
      </c>
      <c r="AP421" t="s">
        <v>344</v>
      </c>
      <c r="AQ421" t="s">
        <v>350</v>
      </c>
      <c r="AR421" s="1">
        <v>44474</v>
      </c>
      <c r="AX421">
        <v>11</v>
      </c>
      <c r="AY421">
        <v>647156</v>
      </c>
      <c r="AZ421">
        <v>5534676</v>
      </c>
      <c r="BA421">
        <v>6023</v>
      </c>
      <c r="BB421" t="s">
        <v>345</v>
      </c>
      <c r="BC421" t="s">
        <v>349</v>
      </c>
      <c r="BD421" t="s">
        <v>94</v>
      </c>
      <c r="BE421" t="s">
        <v>344</v>
      </c>
      <c r="BF421" t="s">
        <v>343</v>
      </c>
      <c r="BG421">
        <v>2</v>
      </c>
      <c r="BH421">
        <v>1004600508</v>
      </c>
      <c r="BI421">
        <v>1</v>
      </c>
      <c r="BM421">
        <v>0</v>
      </c>
      <c r="BN421">
        <v>0</v>
      </c>
      <c r="BO421">
        <v>0</v>
      </c>
      <c r="BP421">
        <v>0</v>
      </c>
      <c r="BQ421">
        <v>0</v>
      </c>
      <c r="BR421">
        <v>0</v>
      </c>
      <c r="BS421">
        <v>0</v>
      </c>
      <c r="BT421">
        <v>0</v>
      </c>
      <c r="BU421">
        <v>0</v>
      </c>
      <c r="BV421">
        <v>0</v>
      </c>
      <c r="BW421">
        <v>0</v>
      </c>
      <c r="BX421">
        <v>0</v>
      </c>
      <c r="BY421">
        <v>0</v>
      </c>
      <c r="BZ421">
        <v>0</v>
      </c>
      <c r="CA421">
        <v>0</v>
      </c>
      <c r="CB421">
        <v>0</v>
      </c>
      <c r="CC421">
        <v>0</v>
      </c>
      <c r="CD421">
        <v>0</v>
      </c>
      <c r="CE421">
        <v>0</v>
      </c>
      <c r="CF421">
        <v>0</v>
      </c>
      <c r="CG421">
        <v>0</v>
      </c>
      <c r="CH421">
        <v>0</v>
      </c>
      <c r="CI421">
        <v>0</v>
      </c>
      <c r="CJ421">
        <v>0</v>
      </c>
      <c r="CK421">
        <v>4.7662293177078396</v>
      </c>
      <c r="CL421">
        <v>6.4022217157271202</v>
      </c>
      <c r="CM421">
        <v>4.7699999999999996</v>
      </c>
      <c r="CN421">
        <v>5.59</v>
      </c>
      <c r="CO421">
        <v>4.7699999999999996</v>
      </c>
      <c r="CP421">
        <v>4.7699999999999996</v>
      </c>
      <c r="CQ421">
        <v>6.4</v>
      </c>
      <c r="CR421">
        <v>6.4</v>
      </c>
      <c r="CS421">
        <v>6.4</v>
      </c>
      <c r="CT421">
        <v>6.4</v>
      </c>
      <c r="DE421" t="s">
        <v>0</v>
      </c>
    </row>
    <row r="422" spans="1:109" hidden="1" x14ac:dyDescent="0.35">
      <c r="A422">
        <v>197820</v>
      </c>
      <c r="B422">
        <v>197820</v>
      </c>
      <c r="D422" t="s">
        <v>121</v>
      </c>
      <c r="E422" t="s">
        <v>99</v>
      </c>
      <c r="F422" t="s">
        <v>258</v>
      </c>
      <c r="G422" t="s">
        <v>97</v>
      </c>
      <c r="J422">
        <v>356568905</v>
      </c>
      <c r="K422" t="s">
        <v>344</v>
      </c>
      <c r="L422" t="s">
        <v>273</v>
      </c>
      <c r="M422" t="s">
        <v>70</v>
      </c>
      <c r="P422" t="s">
        <v>5</v>
      </c>
      <c r="Q422" t="s">
        <v>4</v>
      </c>
      <c r="R422" t="s">
        <v>12</v>
      </c>
      <c r="S422" t="s">
        <v>2</v>
      </c>
      <c r="AI422" t="s">
        <v>68</v>
      </c>
      <c r="AJ422" t="s">
        <v>348</v>
      </c>
      <c r="AK422" t="s">
        <v>347</v>
      </c>
      <c r="AL422">
        <v>24735049</v>
      </c>
      <c r="AM422" t="s">
        <v>114</v>
      </c>
      <c r="AN422" t="s">
        <v>256</v>
      </c>
      <c r="AO422" t="s">
        <v>273</v>
      </c>
      <c r="AP422" t="s">
        <v>344</v>
      </c>
      <c r="AQ422" t="s">
        <v>346</v>
      </c>
      <c r="AR422" s="1">
        <v>44474</v>
      </c>
      <c r="AX422">
        <v>11</v>
      </c>
      <c r="AY422">
        <v>650010</v>
      </c>
      <c r="AZ422">
        <v>5531958</v>
      </c>
      <c r="BA422">
        <v>1249</v>
      </c>
      <c r="BB422" t="s">
        <v>345</v>
      </c>
      <c r="BC422" t="s">
        <v>345</v>
      </c>
      <c r="BD422" t="s">
        <v>94</v>
      </c>
      <c r="BE422" t="s">
        <v>344</v>
      </c>
      <c r="BF422" t="s">
        <v>343</v>
      </c>
      <c r="BG422">
        <v>2</v>
      </c>
      <c r="BH422" t="s">
        <v>342</v>
      </c>
      <c r="BI422">
        <v>2</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8.0839348213531608</v>
      </c>
      <c r="CL422">
        <v>10.9609001687444</v>
      </c>
      <c r="CM422">
        <v>8.08</v>
      </c>
      <c r="CN422">
        <v>10.15</v>
      </c>
      <c r="CO422">
        <v>8.08</v>
      </c>
      <c r="CP422">
        <v>8.08</v>
      </c>
      <c r="CQ422">
        <v>10.96</v>
      </c>
      <c r="CR422">
        <v>10.96</v>
      </c>
      <c r="CS422">
        <v>10.96</v>
      </c>
      <c r="CT422">
        <v>10.96</v>
      </c>
      <c r="DE422" t="s">
        <v>0</v>
      </c>
    </row>
    <row r="423" spans="1:109" hidden="1" x14ac:dyDescent="0.35">
      <c r="A423">
        <v>197826</v>
      </c>
      <c r="B423">
        <v>197826</v>
      </c>
      <c r="D423" t="s">
        <v>121</v>
      </c>
      <c r="E423" t="s">
        <v>99</v>
      </c>
      <c r="F423" t="s">
        <v>258</v>
      </c>
      <c r="G423" t="s">
        <v>97</v>
      </c>
      <c r="J423">
        <v>356568903</v>
      </c>
      <c r="K423" t="s">
        <v>71</v>
      </c>
      <c r="L423" t="s">
        <v>26</v>
      </c>
      <c r="M423" t="s">
        <v>70</v>
      </c>
      <c r="N423" t="s">
        <v>69</v>
      </c>
      <c r="P423" t="s">
        <v>5</v>
      </c>
      <c r="Q423" t="s">
        <v>4</v>
      </c>
      <c r="R423" t="s">
        <v>12</v>
      </c>
      <c r="S423" t="s">
        <v>2</v>
      </c>
      <c r="AI423" t="s">
        <v>68</v>
      </c>
      <c r="AK423" t="s">
        <v>341</v>
      </c>
      <c r="AL423">
        <v>4603334</v>
      </c>
      <c r="AM423" t="s">
        <v>114</v>
      </c>
      <c r="AN423" t="s">
        <v>256</v>
      </c>
      <c r="AP423" t="s">
        <v>71</v>
      </c>
      <c r="AQ423" t="s">
        <v>340</v>
      </c>
      <c r="AR423" s="1">
        <v>44503</v>
      </c>
      <c r="AX423">
        <v>11</v>
      </c>
      <c r="AY423">
        <v>651461</v>
      </c>
      <c r="AZ423">
        <v>5566706</v>
      </c>
      <c r="BA423">
        <v>63047</v>
      </c>
      <c r="BB423" t="s">
        <v>322</v>
      </c>
      <c r="BC423" t="s">
        <v>254</v>
      </c>
      <c r="BD423" t="s">
        <v>94</v>
      </c>
      <c r="BE423" t="s">
        <v>71</v>
      </c>
      <c r="BF423" t="s">
        <v>320</v>
      </c>
      <c r="BG423">
        <v>2</v>
      </c>
      <c r="BH423" t="s">
        <v>339</v>
      </c>
      <c r="BI423">
        <v>2</v>
      </c>
      <c r="BM423">
        <v>0</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0</v>
      </c>
      <c r="CG423">
        <v>0</v>
      </c>
      <c r="CH423">
        <v>0</v>
      </c>
      <c r="CI423">
        <v>0</v>
      </c>
      <c r="CJ423">
        <v>0</v>
      </c>
      <c r="CK423">
        <v>9.6739869858305099</v>
      </c>
      <c r="CL423">
        <v>13.491577491188499</v>
      </c>
      <c r="CM423">
        <v>9.67</v>
      </c>
      <c r="CN423">
        <v>13.49</v>
      </c>
      <c r="CO423">
        <v>9.67</v>
      </c>
      <c r="CP423">
        <v>9.67</v>
      </c>
      <c r="CQ423">
        <v>13.49</v>
      </c>
      <c r="CR423">
        <v>13.49</v>
      </c>
      <c r="CS423">
        <v>13.81</v>
      </c>
      <c r="CT423">
        <v>13.81</v>
      </c>
      <c r="DE423" t="s">
        <v>0</v>
      </c>
    </row>
    <row r="424" spans="1:109" hidden="1" x14ac:dyDescent="0.35">
      <c r="A424">
        <v>197863</v>
      </c>
      <c r="B424">
        <v>197863</v>
      </c>
      <c r="D424" t="s">
        <v>121</v>
      </c>
      <c r="E424" t="s">
        <v>99</v>
      </c>
      <c r="F424" t="s">
        <v>104</v>
      </c>
      <c r="G424" t="s">
        <v>119</v>
      </c>
      <c r="J424">
        <v>356491611</v>
      </c>
      <c r="K424" t="s">
        <v>15</v>
      </c>
      <c r="L424" t="s">
        <v>26</v>
      </c>
      <c r="M424" t="s">
        <v>39</v>
      </c>
      <c r="P424" t="s">
        <v>5</v>
      </c>
      <c r="Q424" t="s">
        <v>4</v>
      </c>
      <c r="R424" t="s">
        <v>52</v>
      </c>
      <c r="S424" t="s">
        <v>2</v>
      </c>
      <c r="V424" t="s">
        <v>51</v>
      </c>
      <c r="AI424" t="s">
        <v>338</v>
      </c>
      <c r="AK424" t="s">
        <v>337</v>
      </c>
      <c r="AM424" t="s">
        <v>114</v>
      </c>
      <c r="AN424" t="s">
        <v>113</v>
      </c>
      <c r="AO424" t="s">
        <v>26</v>
      </c>
      <c r="AP424" t="s">
        <v>15</v>
      </c>
      <c r="AQ424" t="s">
        <v>336</v>
      </c>
      <c r="AR424" s="1">
        <v>44482</v>
      </c>
      <c r="AX424">
        <v>11</v>
      </c>
      <c r="AY424">
        <v>636985</v>
      </c>
      <c r="AZ424">
        <v>5484446</v>
      </c>
      <c r="BA424">
        <v>794</v>
      </c>
      <c r="BB424" t="s">
        <v>335</v>
      </c>
      <c r="BC424" t="s">
        <v>335</v>
      </c>
      <c r="BD424" t="s">
        <v>94</v>
      </c>
      <c r="BF424" t="s">
        <v>334</v>
      </c>
      <c r="BG424">
        <v>2</v>
      </c>
      <c r="BM424">
        <v>0</v>
      </c>
      <c r="BN424">
        <v>0</v>
      </c>
      <c r="BO424">
        <v>0</v>
      </c>
      <c r="BP424">
        <v>0</v>
      </c>
      <c r="BQ424">
        <v>0</v>
      </c>
      <c r="BR424">
        <v>0</v>
      </c>
      <c r="BS424">
        <v>0</v>
      </c>
      <c r="BT424">
        <v>0</v>
      </c>
      <c r="BU424">
        <v>0</v>
      </c>
      <c r="BV424">
        <v>0</v>
      </c>
      <c r="BW424">
        <v>0</v>
      </c>
      <c r="BX424">
        <v>0</v>
      </c>
      <c r="BY424">
        <v>0</v>
      </c>
      <c r="BZ424">
        <v>0</v>
      </c>
      <c r="CA424">
        <v>0</v>
      </c>
      <c r="CB424">
        <v>0</v>
      </c>
      <c r="CC424">
        <v>0</v>
      </c>
      <c r="CD424">
        <v>0</v>
      </c>
      <c r="CE424">
        <v>0</v>
      </c>
      <c r="CF424">
        <v>0</v>
      </c>
      <c r="CG424">
        <v>0</v>
      </c>
      <c r="CH424">
        <v>0</v>
      </c>
      <c r="CI424">
        <v>0</v>
      </c>
      <c r="CJ424">
        <v>0</v>
      </c>
      <c r="CK424">
        <v>0</v>
      </c>
      <c r="CL424">
        <v>0</v>
      </c>
      <c r="CM424">
        <v>0</v>
      </c>
      <c r="CN424">
        <v>0</v>
      </c>
      <c r="CO424">
        <v>0</v>
      </c>
      <c r="CP424">
        <v>0</v>
      </c>
      <c r="CQ424">
        <v>0</v>
      </c>
      <c r="CR424">
        <v>0</v>
      </c>
      <c r="CS424">
        <v>0</v>
      </c>
      <c r="CT424">
        <v>0</v>
      </c>
      <c r="DE424" t="s">
        <v>0</v>
      </c>
    </row>
    <row r="425" spans="1:109" hidden="1" x14ac:dyDescent="0.35">
      <c r="A425">
        <v>199907</v>
      </c>
      <c r="B425">
        <v>199907</v>
      </c>
      <c r="D425" t="s">
        <v>121</v>
      </c>
      <c r="E425" t="s">
        <v>99</v>
      </c>
      <c r="F425" t="s">
        <v>98</v>
      </c>
      <c r="G425" t="s">
        <v>97</v>
      </c>
      <c r="J425">
        <v>356565783</v>
      </c>
      <c r="K425" t="s">
        <v>23</v>
      </c>
      <c r="L425" t="s">
        <v>333</v>
      </c>
      <c r="M425" t="s">
        <v>13</v>
      </c>
      <c r="P425" t="s">
        <v>5</v>
      </c>
      <c r="Q425" t="s">
        <v>4</v>
      </c>
      <c r="R425" t="s">
        <v>12</v>
      </c>
      <c r="S425" t="s">
        <v>2</v>
      </c>
      <c r="AI425" t="s">
        <v>206</v>
      </c>
      <c r="AK425" t="s">
        <v>332</v>
      </c>
      <c r="AL425">
        <v>4605237</v>
      </c>
      <c r="AM425" t="s">
        <v>114</v>
      </c>
      <c r="AN425" t="s">
        <v>202</v>
      </c>
      <c r="AO425" t="s">
        <v>331</v>
      </c>
      <c r="AP425" t="s">
        <v>23</v>
      </c>
      <c r="AQ425" t="s">
        <v>330</v>
      </c>
      <c r="AR425" s="1">
        <v>45518</v>
      </c>
      <c r="AX425">
        <v>11</v>
      </c>
      <c r="AY425">
        <v>668173</v>
      </c>
      <c r="AZ425">
        <v>5482900</v>
      </c>
      <c r="BA425">
        <v>46275</v>
      </c>
      <c r="BB425" t="s">
        <v>329</v>
      </c>
      <c r="BC425" t="s">
        <v>328</v>
      </c>
      <c r="BD425" t="s">
        <v>94</v>
      </c>
      <c r="BE425" t="s">
        <v>23</v>
      </c>
      <c r="BF425" t="s">
        <v>327</v>
      </c>
      <c r="BG425">
        <v>2</v>
      </c>
      <c r="BH425">
        <v>1004600835</v>
      </c>
      <c r="BI425">
        <v>1</v>
      </c>
      <c r="BM425">
        <v>0</v>
      </c>
      <c r="BN425">
        <v>0</v>
      </c>
      <c r="BO425">
        <v>0</v>
      </c>
      <c r="BP425">
        <v>0</v>
      </c>
      <c r="BQ425">
        <v>0</v>
      </c>
      <c r="BR425">
        <v>0</v>
      </c>
      <c r="BS425">
        <v>0</v>
      </c>
      <c r="BT425">
        <v>0</v>
      </c>
      <c r="BU425">
        <v>0</v>
      </c>
      <c r="BV425">
        <v>0</v>
      </c>
      <c r="BW425">
        <v>0</v>
      </c>
      <c r="BX425">
        <v>0</v>
      </c>
      <c r="BY425">
        <v>0</v>
      </c>
      <c r="BZ425">
        <v>0</v>
      </c>
      <c r="CA425">
        <v>0</v>
      </c>
      <c r="CB425">
        <v>0</v>
      </c>
      <c r="CC425">
        <v>0</v>
      </c>
      <c r="CD425">
        <v>0</v>
      </c>
      <c r="CE425">
        <v>0</v>
      </c>
      <c r="CF425">
        <v>0</v>
      </c>
      <c r="CG425">
        <v>0</v>
      </c>
      <c r="CH425">
        <v>0</v>
      </c>
      <c r="CI425">
        <v>0</v>
      </c>
      <c r="CJ425">
        <v>0</v>
      </c>
      <c r="CK425">
        <v>2.0472644407552498</v>
      </c>
      <c r="CL425">
        <v>3.21671727795998</v>
      </c>
      <c r="CM425">
        <v>2.0499999999999998</v>
      </c>
      <c r="CN425">
        <v>2.58</v>
      </c>
      <c r="CO425">
        <v>2.0499999999999998</v>
      </c>
      <c r="CP425">
        <v>2.0499999999999998</v>
      </c>
      <c r="CQ425">
        <v>3.22</v>
      </c>
      <c r="CR425">
        <v>3.22</v>
      </c>
      <c r="CS425">
        <v>3.22</v>
      </c>
      <c r="CT425">
        <v>3.22</v>
      </c>
      <c r="DE425" t="s">
        <v>0</v>
      </c>
    </row>
    <row r="426" spans="1:109" hidden="1" x14ac:dyDescent="0.35">
      <c r="A426">
        <v>1004604057</v>
      </c>
      <c r="D426" t="s">
        <v>100</v>
      </c>
      <c r="E426" t="s">
        <v>99</v>
      </c>
      <c r="F426" t="s">
        <v>98</v>
      </c>
      <c r="G426" t="s">
        <v>97</v>
      </c>
      <c r="J426">
        <v>356568903</v>
      </c>
      <c r="AL426">
        <v>4604057</v>
      </c>
      <c r="AX426">
        <v>11</v>
      </c>
      <c r="AY426">
        <v>650834</v>
      </c>
      <c r="AZ426">
        <v>5563936</v>
      </c>
      <c r="BA426">
        <v>58978.687710001999</v>
      </c>
      <c r="BB426" t="s">
        <v>322</v>
      </c>
      <c r="BC426" t="s">
        <v>326</v>
      </c>
      <c r="BD426" t="s">
        <v>94</v>
      </c>
      <c r="BE426" t="s">
        <v>71</v>
      </c>
      <c r="BF426" t="s">
        <v>320</v>
      </c>
      <c r="BG426">
        <v>2</v>
      </c>
      <c r="BH426" t="s">
        <v>325</v>
      </c>
      <c r="BI426">
        <v>9</v>
      </c>
      <c r="BM426">
        <v>0</v>
      </c>
      <c r="BN426">
        <v>0</v>
      </c>
      <c r="BO426">
        <v>0</v>
      </c>
      <c r="BP426">
        <v>0</v>
      </c>
      <c r="BQ426">
        <v>0</v>
      </c>
      <c r="BR426">
        <v>0</v>
      </c>
      <c r="BS426">
        <v>0</v>
      </c>
      <c r="BT426">
        <v>0</v>
      </c>
      <c r="BU426">
        <v>0</v>
      </c>
      <c r="BV426">
        <v>0</v>
      </c>
      <c r="BW426">
        <v>0</v>
      </c>
      <c r="BX426">
        <v>0</v>
      </c>
      <c r="BY426">
        <v>0</v>
      </c>
      <c r="BZ426">
        <v>0</v>
      </c>
      <c r="CA426">
        <v>0</v>
      </c>
      <c r="CB426">
        <v>0</v>
      </c>
      <c r="CC426">
        <v>0</v>
      </c>
      <c r="CD426">
        <v>0</v>
      </c>
      <c r="CE426">
        <v>0</v>
      </c>
      <c r="CF426">
        <v>0</v>
      </c>
      <c r="CG426">
        <v>0</v>
      </c>
      <c r="CH426">
        <v>0</v>
      </c>
      <c r="CI426">
        <v>0</v>
      </c>
      <c r="CJ426">
        <v>0</v>
      </c>
      <c r="CK426">
        <v>24.482207406253799</v>
      </c>
      <c r="CL426">
        <v>28.608811987029402</v>
      </c>
      <c r="CM426">
        <v>14.85</v>
      </c>
      <c r="CN426">
        <v>18.54</v>
      </c>
      <c r="CO426">
        <v>24.48</v>
      </c>
      <c r="CP426">
        <v>24.48</v>
      </c>
      <c r="CQ426">
        <v>28.61</v>
      </c>
      <c r="CR426">
        <v>28.61</v>
      </c>
      <c r="CS426">
        <v>29.06</v>
      </c>
      <c r="CT426">
        <v>29.06</v>
      </c>
      <c r="DE426" t="s">
        <v>0</v>
      </c>
    </row>
    <row r="427" spans="1:109" s="2" customFormat="1" hidden="1" x14ac:dyDescent="0.35">
      <c r="A427" s="2">
        <v>1004605000</v>
      </c>
      <c r="D427" s="2" t="s">
        <v>100</v>
      </c>
      <c r="E427" s="2" t="s">
        <v>99</v>
      </c>
      <c r="F427" s="2" t="s">
        <v>104</v>
      </c>
      <c r="G427" s="2" t="s">
        <v>103</v>
      </c>
      <c r="J427" s="2">
        <v>356563871</v>
      </c>
      <c r="AL427" s="2">
        <v>4605000</v>
      </c>
      <c r="AX427" s="2">
        <v>11</v>
      </c>
      <c r="AY427" s="2">
        <v>660595</v>
      </c>
      <c r="AZ427" s="2">
        <v>5533321</v>
      </c>
      <c r="BA427" s="2">
        <v>10464.999841520201</v>
      </c>
      <c r="BB427" s="2" t="s">
        <v>96</v>
      </c>
      <c r="BC427" s="2" t="s">
        <v>237</v>
      </c>
      <c r="BD427" s="2" t="s">
        <v>94</v>
      </c>
      <c r="BE427" s="2" t="s">
        <v>93</v>
      </c>
      <c r="BF427" s="2" t="s">
        <v>324</v>
      </c>
      <c r="BG427" s="2">
        <v>2</v>
      </c>
      <c r="BH427" s="2" t="s">
        <v>323</v>
      </c>
      <c r="BI427" s="2">
        <v>13</v>
      </c>
      <c r="BM427" s="2">
        <v>0</v>
      </c>
      <c r="BN427" s="2">
        <v>0</v>
      </c>
      <c r="BO427" s="2">
        <v>0</v>
      </c>
      <c r="BP427" s="2">
        <v>0</v>
      </c>
      <c r="BQ427" s="2">
        <v>0</v>
      </c>
      <c r="BR427" s="2">
        <v>0</v>
      </c>
      <c r="BS427" s="2">
        <v>0</v>
      </c>
      <c r="BT427" s="2">
        <v>0</v>
      </c>
      <c r="BU427" s="2">
        <v>0</v>
      </c>
      <c r="BV427" s="2">
        <v>0</v>
      </c>
      <c r="BW427" s="2">
        <v>0</v>
      </c>
      <c r="BX427" s="2">
        <v>0</v>
      </c>
      <c r="BY427" s="2">
        <v>0</v>
      </c>
      <c r="BZ427" s="2">
        <v>0</v>
      </c>
      <c r="CA427" s="2">
        <v>0</v>
      </c>
      <c r="CB427" s="2">
        <v>0</v>
      </c>
      <c r="CC427" s="2">
        <v>0</v>
      </c>
      <c r="CD427" s="2">
        <v>0</v>
      </c>
      <c r="CE427" s="2">
        <v>0</v>
      </c>
      <c r="CF427" s="2">
        <v>0</v>
      </c>
      <c r="CG427" s="2">
        <v>0</v>
      </c>
      <c r="CH427" s="2">
        <v>0</v>
      </c>
      <c r="CI427" s="2">
        <v>0</v>
      </c>
      <c r="CJ427" s="2">
        <v>0</v>
      </c>
      <c r="CK427" s="2">
        <v>4.9549322550097497</v>
      </c>
      <c r="CL427" s="2">
        <v>7.2346201538873398</v>
      </c>
      <c r="CM427" s="2">
        <v>0</v>
      </c>
      <c r="CN427" s="2">
        <v>0</v>
      </c>
      <c r="CO427" s="2">
        <v>4.95</v>
      </c>
      <c r="CP427" s="2">
        <v>0</v>
      </c>
      <c r="CQ427" s="2">
        <v>7.23</v>
      </c>
      <c r="CR427" s="2">
        <v>0</v>
      </c>
      <c r="CS427" s="2">
        <v>7.23</v>
      </c>
      <c r="CT427" s="2">
        <v>0</v>
      </c>
      <c r="DE427" s="2" t="s">
        <v>0</v>
      </c>
    </row>
    <row r="428" spans="1:109" hidden="1" x14ac:dyDescent="0.35">
      <c r="A428">
        <v>1004605184</v>
      </c>
      <c r="D428" t="s">
        <v>100</v>
      </c>
      <c r="E428" t="s">
        <v>99</v>
      </c>
      <c r="F428" t="s">
        <v>98</v>
      </c>
      <c r="G428" t="s">
        <v>97</v>
      </c>
      <c r="J428">
        <v>356568903</v>
      </c>
      <c r="AL428">
        <v>4605184</v>
      </c>
      <c r="AX428">
        <v>11</v>
      </c>
      <c r="AY428">
        <v>653008</v>
      </c>
      <c r="AZ428">
        <v>5573592</v>
      </c>
      <c r="BA428">
        <v>71767.4259680994</v>
      </c>
      <c r="BB428" t="s">
        <v>322</v>
      </c>
      <c r="BC428" t="s">
        <v>321</v>
      </c>
      <c r="BD428" t="s">
        <v>94</v>
      </c>
      <c r="BE428" t="s">
        <v>71</v>
      </c>
      <c r="BF428" t="s">
        <v>320</v>
      </c>
      <c r="BG428">
        <v>2</v>
      </c>
      <c r="BM428">
        <v>0</v>
      </c>
      <c r="BN428">
        <v>0</v>
      </c>
      <c r="BO428">
        <v>0</v>
      </c>
      <c r="BP428">
        <v>0</v>
      </c>
      <c r="BQ428">
        <v>0</v>
      </c>
      <c r="BR428">
        <v>0</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0.64216340638582703</v>
      </c>
      <c r="CL428">
        <v>3.35370391946423</v>
      </c>
      <c r="CM428">
        <v>0.64</v>
      </c>
      <c r="CN428">
        <v>3.35</v>
      </c>
      <c r="CO428">
        <v>0.64</v>
      </c>
      <c r="CP428">
        <v>0.64</v>
      </c>
      <c r="CQ428">
        <v>3.35</v>
      </c>
      <c r="CR428">
        <v>3.35</v>
      </c>
      <c r="CS428">
        <v>3.35</v>
      </c>
      <c r="CT428">
        <v>3.35</v>
      </c>
      <c r="DE428" t="s">
        <v>0</v>
      </c>
    </row>
    <row r="429" spans="1:109" hidden="1" x14ac:dyDescent="0.35">
      <c r="A429">
        <v>50183</v>
      </c>
      <c r="D429" t="s">
        <v>121</v>
      </c>
      <c r="E429" t="s">
        <v>99</v>
      </c>
      <c r="F429" t="s">
        <v>258</v>
      </c>
      <c r="G429" t="s">
        <v>97</v>
      </c>
      <c r="J429">
        <v>356568403</v>
      </c>
      <c r="AL429">
        <v>24734169</v>
      </c>
      <c r="AM429" t="s">
        <v>114</v>
      </c>
      <c r="AN429" t="s">
        <v>256</v>
      </c>
      <c r="AO429" t="s">
        <v>319</v>
      </c>
      <c r="AP429" t="s">
        <v>318</v>
      </c>
      <c r="AQ429" t="s">
        <v>317</v>
      </c>
      <c r="AR429" s="1">
        <v>40854</v>
      </c>
      <c r="AX429">
        <v>11</v>
      </c>
      <c r="AY429">
        <v>648332</v>
      </c>
      <c r="AZ429">
        <v>5468246</v>
      </c>
      <c r="BA429">
        <v>3300</v>
      </c>
      <c r="BB429" t="s">
        <v>316</v>
      </c>
      <c r="BC429" t="s">
        <v>315</v>
      </c>
      <c r="BD429" t="s">
        <v>94</v>
      </c>
      <c r="BF429" t="s">
        <v>314</v>
      </c>
      <c r="BG429">
        <v>3</v>
      </c>
      <c r="BM429">
        <v>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0</v>
      </c>
      <c r="CG429">
        <v>0</v>
      </c>
      <c r="CH429">
        <v>0</v>
      </c>
      <c r="CI429">
        <v>0</v>
      </c>
      <c r="CJ429">
        <v>0</v>
      </c>
      <c r="CK429">
        <v>0</v>
      </c>
      <c r="CL429">
        <v>0.12500000000009001</v>
      </c>
      <c r="CM429">
        <v>0</v>
      </c>
      <c r="CN429">
        <v>0.13</v>
      </c>
      <c r="CO429">
        <v>0</v>
      </c>
      <c r="CP429">
        <v>0</v>
      </c>
      <c r="CQ429">
        <v>0.13</v>
      </c>
      <c r="CR429">
        <v>0.13</v>
      </c>
      <c r="CS429">
        <v>0.13</v>
      </c>
      <c r="CT429">
        <v>0.13</v>
      </c>
      <c r="DE429" t="s">
        <v>0</v>
      </c>
    </row>
    <row r="430" spans="1:109" hidden="1" x14ac:dyDescent="0.35">
      <c r="A430">
        <v>50261</v>
      </c>
      <c r="B430">
        <v>50261</v>
      </c>
      <c r="D430" t="s">
        <v>121</v>
      </c>
      <c r="E430" t="s">
        <v>99</v>
      </c>
      <c r="F430" t="s">
        <v>104</v>
      </c>
      <c r="G430" t="s">
        <v>119</v>
      </c>
      <c r="H430" t="s">
        <v>311</v>
      </c>
      <c r="J430">
        <v>356556217</v>
      </c>
      <c r="K430" t="s">
        <v>310</v>
      </c>
      <c r="L430" t="s">
        <v>311</v>
      </c>
      <c r="M430" t="s">
        <v>39</v>
      </c>
      <c r="P430" t="s">
        <v>5</v>
      </c>
      <c r="Q430" t="s">
        <v>4</v>
      </c>
      <c r="R430" t="s">
        <v>52</v>
      </c>
      <c r="S430" t="s">
        <v>2</v>
      </c>
      <c r="V430" t="s">
        <v>51</v>
      </c>
      <c r="AI430" t="s">
        <v>313</v>
      </c>
      <c r="AJ430" t="s">
        <v>214</v>
      </c>
      <c r="AK430" t="s">
        <v>312</v>
      </c>
      <c r="AL430">
        <v>4607458</v>
      </c>
      <c r="AM430" t="s">
        <v>114</v>
      </c>
      <c r="AN430" t="s">
        <v>113</v>
      </c>
      <c r="AO430" t="s">
        <v>311</v>
      </c>
      <c r="AP430" t="s">
        <v>310</v>
      </c>
      <c r="AQ430" t="s">
        <v>309</v>
      </c>
      <c r="AR430" s="1">
        <v>44121</v>
      </c>
      <c r="AX430">
        <v>11</v>
      </c>
      <c r="AY430">
        <v>669030</v>
      </c>
      <c r="AZ430">
        <v>5481120</v>
      </c>
      <c r="BA430">
        <v>350</v>
      </c>
      <c r="BB430" t="s">
        <v>308</v>
      </c>
      <c r="BC430" t="s">
        <v>308</v>
      </c>
      <c r="BD430" t="s">
        <v>94</v>
      </c>
      <c r="BF430" t="s">
        <v>307</v>
      </c>
      <c r="BG430">
        <v>3</v>
      </c>
      <c r="BM430">
        <v>0</v>
      </c>
      <c r="BN430">
        <v>0</v>
      </c>
      <c r="BO430">
        <v>0</v>
      </c>
      <c r="BP430">
        <v>0</v>
      </c>
      <c r="BQ430">
        <v>0</v>
      </c>
      <c r="BR430">
        <v>0</v>
      </c>
      <c r="BS430">
        <v>0</v>
      </c>
      <c r="BT430">
        <v>0</v>
      </c>
      <c r="BU430">
        <v>0</v>
      </c>
      <c r="BV430">
        <v>0</v>
      </c>
      <c r="BW430">
        <v>0</v>
      </c>
      <c r="BX430">
        <v>0</v>
      </c>
      <c r="BY430">
        <v>0</v>
      </c>
      <c r="BZ430">
        <v>0</v>
      </c>
      <c r="CA430">
        <v>0</v>
      </c>
      <c r="CB430">
        <v>0</v>
      </c>
      <c r="CC430">
        <v>0</v>
      </c>
      <c r="CD430">
        <v>0</v>
      </c>
      <c r="CE430">
        <v>0</v>
      </c>
      <c r="CF430">
        <v>0</v>
      </c>
      <c r="CG430">
        <v>0</v>
      </c>
      <c r="CH430">
        <v>0</v>
      </c>
      <c r="CI430">
        <v>0</v>
      </c>
      <c r="CJ430">
        <v>0</v>
      </c>
      <c r="CK430">
        <v>0</v>
      </c>
      <c r="CL430">
        <v>0</v>
      </c>
      <c r="CM430">
        <v>0</v>
      </c>
      <c r="CN430">
        <v>0</v>
      </c>
      <c r="CO430">
        <v>0</v>
      </c>
      <c r="CP430">
        <v>0</v>
      </c>
      <c r="CQ430">
        <v>0</v>
      </c>
      <c r="CR430">
        <v>0</v>
      </c>
      <c r="CS430">
        <v>0</v>
      </c>
      <c r="CT430">
        <v>0</v>
      </c>
      <c r="DE430" t="s">
        <v>0</v>
      </c>
    </row>
    <row r="431" spans="1:109" hidden="1" x14ac:dyDescent="0.35">
      <c r="A431">
        <v>61513</v>
      </c>
      <c r="D431" t="s">
        <v>121</v>
      </c>
      <c r="E431" t="s">
        <v>99</v>
      </c>
      <c r="F431" t="s">
        <v>98</v>
      </c>
      <c r="G431" t="s">
        <v>97</v>
      </c>
      <c r="H431" t="s">
        <v>306</v>
      </c>
      <c r="J431">
        <v>356554901</v>
      </c>
      <c r="AL431">
        <v>4600215</v>
      </c>
      <c r="AM431" t="s">
        <v>114</v>
      </c>
      <c r="AN431" t="s">
        <v>202</v>
      </c>
      <c r="AO431" t="s">
        <v>305</v>
      </c>
      <c r="AP431" t="s">
        <v>302</v>
      </c>
      <c r="AQ431" t="s">
        <v>296</v>
      </c>
      <c r="AR431" s="1">
        <v>41197</v>
      </c>
      <c r="AX431">
        <v>11</v>
      </c>
      <c r="AY431">
        <v>656531</v>
      </c>
      <c r="AZ431">
        <v>5544653</v>
      </c>
      <c r="BA431">
        <v>1172</v>
      </c>
      <c r="BB431" t="s">
        <v>300</v>
      </c>
      <c r="BC431" t="s">
        <v>304</v>
      </c>
      <c r="BD431" t="s">
        <v>94</v>
      </c>
      <c r="BF431" t="s">
        <v>298</v>
      </c>
      <c r="BG431">
        <v>3</v>
      </c>
      <c r="BM431">
        <v>0</v>
      </c>
      <c r="BN431">
        <v>0</v>
      </c>
      <c r="BO431">
        <v>0</v>
      </c>
      <c r="BP431">
        <v>0</v>
      </c>
      <c r="BQ431">
        <v>0</v>
      </c>
      <c r="BR431">
        <v>0</v>
      </c>
      <c r="BS431">
        <v>0</v>
      </c>
      <c r="BT431">
        <v>0</v>
      </c>
      <c r="BU431">
        <v>0</v>
      </c>
      <c r="BV431">
        <v>0</v>
      </c>
      <c r="BW431">
        <v>0</v>
      </c>
      <c r="BX431">
        <v>0</v>
      </c>
      <c r="BY431">
        <v>0</v>
      </c>
      <c r="BZ431">
        <v>0</v>
      </c>
      <c r="CA431">
        <v>0</v>
      </c>
      <c r="CB431">
        <v>0</v>
      </c>
      <c r="CC431">
        <v>0</v>
      </c>
      <c r="CD431">
        <v>0</v>
      </c>
      <c r="CE431">
        <v>0</v>
      </c>
      <c r="CF431">
        <v>0</v>
      </c>
      <c r="CG431">
        <v>0</v>
      </c>
      <c r="CH431">
        <v>0</v>
      </c>
      <c r="CI431">
        <v>0</v>
      </c>
      <c r="CJ431">
        <v>0</v>
      </c>
      <c r="CK431">
        <v>4.1446490869860098</v>
      </c>
      <c r="CL431">
        <v>4.36811766664992</v>
      </c>
      <c r="CM431">
        <v>4.1399999999999997</v>
      </c>
      <c r="CN431">
        <v>4.37</v>
      </c>
      <c r="CO431">
        <v>4.1399999999999997</v>
      </c>
      <c r="CP431">
        <v>4.1399999999999997</v>
      </c>
      <c r="CQ431">
        <v>4.37</v>
      </c>
      <c r="CR431">
        <v>4.37</v>
      </c>
      <c r="CS431">
        <v>4.37</v>
      </c>
      <c r="CT431">
        <v>4.37</v>
      </c>
      <c r="DE431" t="s">
        <v>0</v>
      </c>
    </row>
    <row r="432" spans="1:109" hidden="1" x14ac:dyDescent="0.35">
      <c r="A432">
        <v>61531</v>
      </c>
      <c r="D432" t="s">
        <v>121</v>
      </c>
      <c r="E432" t="s">
        <v>99</v>
      </c>
      <c r="F432" t="s">
        <v>98</v>
      </c>
      <c r="G432" t="s">
        <v>97</v>
      </c>
      <c r="J432">
        <v>356554901</v>
      </c>
      <c r="AL432">
        <v>4605820</v>
      </c>
      <c r="AM432" t="s">
        <v>114</v>
      </c>
      <c r="AN432" t="s">
        <v>202</v>
      </c>
      <c r="AO432" t="s">
        <v>303</v>
      </c>
      <c r="AP432" t="s">
        <v>302</v>
      </c>
      <c r="AQ432" t="s">
        <v>301</v>
      </c>
      <c r="AR432" s="1">
        <v>41197</v>
      </c>
      <c r="AX432">
        <v>11</v>
      </c>
      <c r="AY432">
        <v>658012</v>
      </c>
      <c r="AZ432">
        <v>5541492</v>
      </c>
      <c r="BA432">
        <v>5252</v>
      </c>
      <c r="BB432" t="s">
        <v>300</v>
      </c>
      <c r="BC432" t="s">
        <v>299</v>
      </c>
      <c r="BD432" t="s">
        <v>94</v>
      </c>
      <c r="BF432" t="s">
        <v>298</v>
      </c>
      <c r="BG432">
        <v>3</v>
      </c>
      <c r="BM432">
        <v>0</v>
      </c>
      <c r="BN432">
        <v>0</v>
      </c>
      <c r="BO432">
        <v>0</v>
      </c>
      <c r="BP432">
        <v>0</v>
      </c>
      <c r="BQ432">
        <v>0</v>
      </c>
      <c r="BR432">
        <v>0</v>
      </c>
      <c r="BS432">
        <v>0</v>
      </c>
      <c r="BT432">
        <v>0</v>
      </c>
      <c r="BU432">
        <v>0</v>
      </c>
      <c r="BV432">
        <v>0</v>
      </c>
      <c r="BW432">
        <v>0</v>
      </c>
      <c r="BX432">
        <v>0</v>
      </c>
      <c r="BY432">
        <v>0</v>
      </c>
      <c r="BZ432">
        <v>0</v>
      </c>
      <c r="CA432">
        <v>0</v>
      </c>
      <c r="CB432">
        <v>0</v>
      </c>
      <c r="CC432">
        <v>0</v>
      </c>
      <c r="CD432">
        <v>0</v>
      </c>
      <c r="CE432">
        <v>0</v>
      </c>
      <c r="CF432">
        <v>0</v>
      </c>
      <c r="CG432">
        <v>0</v>
      </c>
      <c r="CH432">
        <v>0</v>
      </c>
      <c r="CI432">
        <v>0</v>
      </c>
      <c r="CJ432">
        <v>0</v>
      </c>
      <c r="CK432">
        <v>0.288118733894138</v>
      </c>
      <c r="CL432">
        <v>0.288118733894138</v>
      </c>
      <c r="CM432">
        <v>0.28999999999999998</v>
      </c>
      <c r="CN432">
        <v>0.28999999999999998</v>
      </c>
      <c r="CO432">
        <v>0.28999999999999998</v>
      </c>
      <c r="CP432">
        <v>0.28999999999999998</v>
      </c>
      <c r="CQ432">
        <v>0.28999999999999998</v>
      </c>
      <c r="CR432">
        <v>0.28999999999999998</v>
      </c>
      <c r="CS432">
        <v>0.28999999999999998</v>
      </c>
      <c r="CT432">
        <v>0.28999999999999998</v>
      </c>
      <c r="DE432" t="s">
        <v>0</v>
      </c>
    </row>
    <row r="433" spans="1:109" hidden="1" x14ac:dyDescent="0.35">
      <c r="A433">
        <v>62424</v>
      </c>
      <c r="D433" t="s">
        <v>121</v>
      </c>
      <c r="E433" t="s">
        <v>99</v>
      </c>
      <c r="F433" t="s">
        <v>98</v>
      </c>
      <c r="G433" t="s">
        <v>97</v>
      </c>
      <c r="J433">
        <v>356528119</v>
      </c>
      <c r="AL433">
        <v>4605607</v>
      </c>
      <c r="AM433" t="s">
        <v>114</v>
      </c>
      <c r="AN433" t="s">
        <v>202</v>
      </c>
      <c r="AO433" t="s">
        <v>297</v>
      </c>
      <c r="AP433" t="s">
        <v>293</v>
      </c>
      <c r="AQ433" t="s">
        <v>296</v>
      </c>
      <c r="AR433" s="1">
        <v>41193</v>
      </c>
      <c r="AX433">
        <v>11</v>
      </c>
      <c r="AY433">
        <v>661359</v>
      </c>
      <c r="AZ433">
        <v>5524410</v>
      </c>
      <c r="BA433">
        <v>10158</v>
      </c>
      <c r="BB433" t="s">
        <v>295</v>
      </c>
      <c r="BC433" t="s">
        <v>294</v>
      </c>
      <c r="BD433" t="s">
        <v>94</v>
      </c>
      <c r="BE433" t="s">
        <v>293</v>
      </c>
      <c r="BF433" t="s">
        <v>292</v>
      </c>
      <c r="BG433">
        <v>3</v>
      </c>
      <c r="BM433">
        <v>0</v>
      </c>
      <c r="BN433">
        <v>0</v>
      </c>
      <c r="BO433">
        <v>0</v>
      </c>
      <c r="BP433">
        <v>0</v>
      </c>
      <c r="BQ433">
        <v>0</v>
      </c>
      <c r="BR433">
        <v>0</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0.90700064040731798</v>
      </c>
      <c r="CL433">
        <v>0.90700064040731798</v>
      </c>
      <c r="CM433">
        <v>0.12</v>
      </c>
      <c r="CN433">
        <v>0.12</v>
      </c>
      <c r="CO433">
        <v>0.91</v>
      </c>
      <c r="CP433">
        <v>0.91</v>
      </c>
      <c r="CQ433">
        <v>0.91</v>
      </c>
      <c r="CR433">
        <v>0.91</v>
      </c>
      <c r="CS433">
        <v>0.91</v>
      </c>
      <c r="CT433">
        <v>0.91</v>
      </c>
      <c r="DE433" t="s">
        <v>0</v>
      </c>
    </row>
    <row r="434" spans="1:109" hidden="1" x14ac:dyDescent="0.35">
      <c r="A434">
        <v>197530</v>
      </c>
      <c r="B434">
        <v>197530</v>
      </c>
      <c r="D434" t="s">
        <v>121</v>
      </c>
      <c r="E434" t="s">
        <v>120</v>
      </c>
      <c r="F434" t="s">
        <v>104</v>
      </c>
      <c r="G434" t="s">
        <v>97</v>
      </c>
      <c r="H434" t="s">
        <v>291</v>
      </c>
      <c r="J434">
        <v>356551142</v>
      </c>
      <c r="K434" t="s">
        <v>264</v>
      </c>
      <c r="L434" t="s">
        <v>288</v>
      </c>
      <c r="M434" t="s">
        <v>39</v>
      </c>
      <c r="P434" t="s">
        <v>5</v>
      </c>
      <c r="Q434" t="s">
        <v>4</v>
      </c>
      <c r="R434" t="s">
        <v>12</v>
      </c>
      <c r="S434" t="s">
        <v>2</v>
      </c>
      <c r="V434" t="s">
        <v>36</v>
      </c>
      <c r="AI434" t="s">
        <v>12</v>
      </c>
      <c r="AJ434" t="s">
        <v>290</v>
      </c>
      <c r="AK434" t="s">
        <v>289</v>
      </c>
      <c r="AL434">
        <v>4600040</v>
      </c>
      <c r="AM434" t="s">
        <v>114</v>
      </c>
      <c r="AN434" t="s">
        <v>113</v>
      </c>
      <c r="AO434" t="s">
        <v>288</v>
      </c>
      <c r="AP434" t="s">
        <v>264</v>
      </c>
      <c r="AQ434" t="s">
        <v>287</v>
      </c>
      <c r="AR434" s="1">
        <v>44091</v>
      </c>
      <c r="AX434">
        <v>11</v>
      </c>
      <c r="AY434">
        <v>652002</v>
      </c>
      <c r="AZ434">
        <v>5522329</v>
      </c>
      <c r="BA434">
        <v>5029</v>
      </c>
      <c r="BB434" t="s">
        <v>265</v>
      </c>
      <c r="BC434" t="s">
        <v>134</v>
      </c>
      <c r="BD434" t="s">
        <v>94</v>
      </c>
      <c r="BE434" t="s">
        <v>264</v>
      </c>
      <c r="BF434" t="s">
        <v>263</v>
      </c>
      <c r="BG434">
        <v>3</v>
      </c>
      <c r="BM434">
        <v>0</v>
      </c>
      <c r="BN434">
        <v>0</v>
      </c>
      <c r="BO434">
        <v>0</v>
      </c>
      <c r="BP434">
        <v>0</v>
      </c>
      <c r="BQ434">
        <v>0</v>
      </c>
      <c r="BR434">
        <v>0</v>
      </c>
      <c r="BS434">
        <v>0</v>
      </c>
      <c r="BT434">
        <v>0</v>
      </c>
      <c r="BU434">
        <v>0</v>
      </c>
      <c r="BV434">
        <v>0</v>
      </c>
      <c r="BW434">
        <v>0</v>
      </c>
      <c r="BX434">
        <v>0</v>
      </c>
      <c r="BY434">
        <v>0</v>
      </c>
      <c r="BZ434">
        <v>0</v>
      </c>
      <c r="CA434">
        <v>0</v>
      </c>
      <c r="CB434">
        <v>0</v>
      </c>
      <c r="CC434">
        <v>0</v>
      </c>
      <c r="CD434">
        <v>0</v>
      </c>
      <c r="CE434">
        <v>0</v>
      </c>
      <c r="CF434">
        <v>0</v>
      </c>
      <c r="CG434">
        <v>0</v>
      </c>
      <c r="CH434">
        <v>0</v>
      </c>
      <c r="CI434">
        <v>0</v>
      </c>
      <c r="CJ434">
        <v>0</v>
      </c>
      <c r="CK434">
        <v>0</v>
      </c>
      <c r="CL434">
        <v>0</v>
      </c>
      <c r="CM434">
        <v>0</v>
      </c>
      <c r="CN434">
        <v>0</v>
      </c>
      <c r="CO434">
        <v>0</v>
      </c>
      <c r="CP434">
        <v>0</v>
      </c>
      <c r="CQ434">
        <v>0</v>
      </c>
      <c r="CR434">
        <v>0</v>
      </c>
      <c r="CS434">
        <v>0</v>
      </c>
      <c r="CT434">
        <v>0</v>
      </c>
      <c r="DE434" t="s">
        <v>0</v>
      </c>
    </row>
    <row r="435" spans="1:109" hidden="1" x14ac:dyDescent="0.35">
      <c r="A435">
        <v>197531</v>
      </c>
      <c r="B435">
        <v>197531</v>
      </c>
      <c r="D435" t="s">
        <v>121</v>
      </c>
      <c r="E435" t="s">
        <v>120</v>
      </c>
      <c r="F435" t="s">
        <v>104</v>
      </c>
      <c r="G435" t="s">
        <v>97</v>
      </c>
      <c r="H435" t="s">
        <v>168</v>
      </c>
      <c r="J435">
        <v>356551142</v>
      </c>
      <c r="K435" t="s">
        <v>264</v>
      </c>
      <c r="L435" t="s">
        <v>226</v>
      </c>
      <c r="M435" t="s">
        <v>39</v>
      </c>
      <c r="P435" t="s">
        <v>5</v>
      </c>
      <c r="Q435" t="s">
        <v>4</v>
      </c>
      <c r="R435" t="s">
        <v>12</v>
      </c>
      <c r="S435" t="s">
        <v>2</v>
      </c>
      <c r="V435" t="s">
        <v>36</v>
      </c>
      <c r="AI435" t="s">
        <v>286</v>
      </c>
      <c r="AJ435" t="s">
        <v>268</v>
      </c>
      <c r="AK435" t="s">
        <v>285</v>
      </c>
      <c r="AL435">
        <v>4600037</v>
      </c>
      <c r="AM435" t="s">
        <v>114</v>
      </c>
      <c r="AN435" t="s">
        <v>113</v>
      </c>
      <c r="AO435" t="s">
        <v>223</v>
      </c>
      <c r="AP435" t="s">
        <v>264</v>
      </c>
      <c r="AQ435" t="s">
        <v>284</v>
      </c>
      <c r="AR435" s="1">
        <v>44091</v>
      </c>
      <c r="AX435">
        <v>11</v>
      </c>
      <c r="AY435">
        <v>651892</v>
      </c>
      <c r="AZ435">
        <v>5522721</v>
      </c>
      <c r="BA435">
        <v>5542</v>
      </c>
      <c r="BB435" t="s">
        <v>265</v>
      </c>
      <c r="BC435" t="s">
        <v>134</v>
      </c>
      <c r="BD435" t="s">
        <v>94</v>
      </c>
      <c r="BE435" t="s">
        <v>264</v>
      </c>
      <c r="BF435" t="s">
        <v>263</v>
      </c>
      <c r="BG435">
        <v>3</v>
      </c>
      <c r="BM435">
        <v>0</v>
      </c>
      <c r="BN435">
        <v>0</v>
      </c>
      <c r="BO435">
        <v>0</v>
      </c>
      <c r="BP435">
        <v>0</v>
      </c>
      <c r="BQ435">
        <v>0</v>
      </c>
      <c r="BR435">
        <v>0</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DE435" t="s">
        <v>0</v>
      </c>
    </row>
    <row r="436" spans="1:109" hidden="1" x14ac:dyDescent="0.35">
      <c r="A436">
        <v>197532</v>
      </c>
      <c r="B436">
        <v>197532</v>
      </c>
      <c r="D436" t="s">
        <v>121</v>
      </c>
      <c r="E436" t="s">
        <v>120</v>
      </c>
      <c r="F436" t="s">
        <v>104</v>
      </c>
      <c r="G436" t="s">
        <v>97</v>
      </c>
      <c r="H436" t="s">
        <v>168</v>
      </c>
      <c r="J436">
        <v>356551142</v>
      </c>
      <c r="K436" t="s">
        <v>264</v>
      </c>
      <c r="L436" t="s">
        <v>226</v>
      </c>
      <c r="M436" t="s">
        <v>39</v>
      </c>
      <c r="P436" t="s">
        <v>5</v>
      </c>
      <c r="Q436" t="s">
        <v>4</v>
      </c>
      <c r="R436" t="s">
        <v>12</v>
      </c>
      <c r="S436" t="s">
        <v>2</v>
      </c>
      <c r="V436" t="s">
        <v>36</v>
      </c>
      <c r="AI436" t="s">
        <v>283</v>
      </c>
      <c r="AJ436" t="s">
        <v>282</v>
      </c>
      <c r="AK436" t="s">
        <v>281</v>
      </c>
      <c r="AL436">
        <v>4600038</v>
      </c>
      <c r="AM436" t="s">
        <v>114</v>
      </c>
      <c r="AN436" t="s">
        <v>113</v>
      </c>
      <c r="AO436" t="s">
        <v>223</v>
      </c>
      <c r="AP436" t="s">
        <v>264</v>
      </c>
      <c r="AQ436" t="s">
        <v>280</v>
      </c>
      <c r="AR436" s="1">
        <v>44091</v>
      </c>
      <c r="AX436">
        <v>11</v>
      </c>
      <c r="AY436">
        <v>651947</v>
      </c>
      <c r="AZ436">
        <v>5522894</v>
      </c>
      <c r="BA436">
        <v>5737</v>
      </c>
      <c r="BB436" t="s">
        <v>265</v>
      </c>
      <c r="BC436" t="s">
        <v>134</v>
      </c>
      <c r="BD436" t="s">
        <v>94</v>
      </c>
      <c r="BE436" t="s">
        <v>264</v>
      </c>
      <c r="BF436" t="s">
        <v>263</v>
      </c>
      <c r="BG436">
        <v>3</v>
      </c>
      <c r="BM436">
        <v>0</v>
      </c>
      <c r="BN436">
        <v>0</v>
      </c>
      <c r="BO436">
        <v>0</v>
      </c>
      <c r="BP436">
        <v>0</v>
      </c>
      <c r="BQ436">
        <v>0</v>
      </c>
      <c r="BR436">
        <v>0</v>
      </c>
      <c r="BS436">
        <v>0</v>
      </c>
      <c r="BT436">
        <v>0</v>
      </c>
      <c r="BU436">
        <v>0</v>
      </c>
      <c r="BV436">
        <v>0</v>
      </c>
      <c r="BW436">
        <v>0</v>
      </c>
      <c r="BX436">
        <v>0</v>
      </c>
      <c r="BY436">
        <v>0</v>
      </c>
      <c r="BZ436">
        <v>0</v>
      </c>
      <c r="CA436">
        <v>0</v>
      </c>
      <c r="CB436">
        <v>0</v>
      </c>
      <c r="CC436">
        <v>0</v>
      </c>
      <c r="CD436">
        <v>0</v>
      </c>
      <c r="CE436">
        <v>0</v>
      </c>
      <c r="CF436">
        <v>0</v>
      </c>
      <c r="CG436">
        <v>0</v>
      </c>
      <c r="CH436">
        <v>0</v>
      </c>
      <c r="CI436">
        <v>0</v>
      </c>
      <c r="CJ436">
        <v>0</v>
      </c>
      <c r="CK436">
        <v>0</v>
      </c>
      <c r="CL436">
        <v>0</v>
      </c>
      <c r="CM436">
        <v>0</v>
      </c>
      <c r="CN436">
        <v>0</v>
      </c>
      <c r="CO436">
        <v>0</v>
      </c>
      <c r="CP436">
        <v>0</v>
      </c>
      <c r="CQ436">
        <v>0</v>
      </c>
      <c r="CR436">
        <v>0</v>
      </c>
      <c r="CS436">
        <v>0</v>
      </c>
      <c r="CT436">
        <v>0</v>
      </c>
      <c r="DE436" t="s">
        <v>0</v>
      </c>
    </row>
    <row r="437" spans="1:109" hidden="1" x14ac:dyDescent="0.35">
      <c r="A437">
        <v>197535</v>
      </c>
      <c r="B437">
        <v>197535</v>
      </c>
      <c r="D437" t="s">
        <v>121</v>
      </c>
      <c r="E437" t="s">
        <v>99</v>
      </c>
      <c r="F437" t="s">
        <v>258</v>
      </c>
      <c r="G437" t="s">
        <v>97</v>
      </c>
      <c r="J437">
        <v>356563721</v>
      </c>
      <c r="K437" t="s">
        <v>272</v>
      </c>
      <c r="L437" t="s">
        <v>226</v>
      </c>
      <c r="M437" t="s">
        <v>70</v>
      </c>
      <c r="P437" t="s">
        <v>5</v>
      </c>
      <c r="Q437" t="s">
        <v>4</v>
      </c>
      <c r="R437" t="s">
        <v>12</v>
      </c>
      <c r="S437" t="s">
        <v>2</v>
      </c>
      <c r="AI437" t="s">
        <v>279</v>
      </c>
      <c r="AK437" t="s">
        <v>278</v>
      </c>
      <c r="AL437">
        <v>4601205</v>
      </c>
      <c r="AM437" t="s">
        <v>114</v>
      </c>
      <c r="AN437" t="s">
        <v>256</v>
      </c>
      <c r="AO437" t="s">
        <v>226</v>
      </c>
      <c r="AP437" t="s">
        <v>272</v>
      </c>
      <c r="AQ437" t="s">
        <v>277</v>
      </c>
      <c r="AR437" s="1">
        <v>44092</v>
      </c>
      <c r="AX437">
        <v>11</v>
      </c>
      <c r="AY437">
        <v>650918</v>
      </c>
      <c r="AZ437">
        <v>5528511</v>
      </c>
      <c r="BA437">
        <v>1489</v>
      </c>
      <c r="BB437" t="s">
        <v>234</v>
      </c>
      <c r="BC437" t="s">
        <v>234</v>
      </c>
      <c r="BD437" t="s">
        <v>94</v>
      </c>
      <c r="BE437" t="s">
        <v>232</v>
      </c>
      <c r="BF437" t="s">
        <v>231</v>
      </c>
      <c r="BG437">
        <v>3</v>
      </c>
      <c r="BM437">
        <v>0</v>
      </c>
      <c r="BN437">
        <v>0</v>
      </c>
      <c r="BO437">
        <v>0</v>
      </c>
      <c r="BP437">
        <v>0</v>
      </c>
      <c r="BQ437">
        <v>0</v>
      </c>
      <c r="BR437">
        <v>0</v>
      </c>
      <c r="BS437">
        <v>0</v>
      </c>
      <c r="BT437">
        <v>0</v>
      </c>
      <c r="BU437">
        <v>0</v>
      </c>
      <c r="BV437">
        <v>0</v>
      </c>
      <c r="BW437">
        <v>0</v>
      </c>
      <c r="BX437">
        <v>0</v>
      </c>
      <c r="BY437">
        <v>0</v>
      </c>
      <c r="BZ437">
        <v>0</v>
      </c>
      <c r="CA437">
        <v>0</v>
      </c>
      <c r="CB437">
        <v>0</v>
      </c>
      <c r="CC437">
        <v>0</v>
      </c>
      <c r="CD437">
        <v>0</v>
      </c>
      <c r="CE437">
        <v>0</v>
      </c>
      <c r="CF437">
        <v>0</v>
      </c>
      <c r="CG437">
        <v>0</v>
      </c>
      <c r="CH437">
        <v>0</v>
      </c>
      <c r="CI437">
        <v>0</v>
      </c>
      <c r="CJ437">
        <v>0</v>
      </c>
      <c r="CK437">
        <v>18.048985064771799</v>
      </c>
      <c r="CL437">
        <v>20.799157248459199</v>
      </c>
      <c r="CM437">
        <v>18.05</v>
      </c>
      <c r="CN437">
        <v>20.8</v>
      </c>
      <c r="CO437">
        <v>18.05</v>
      </c>
      <c r="CP437">
        <v>18.05</v>
      </c>
      <c r="CQ437">
        <v>20.8</v>
      </c>
      <c r="CR437">
        <v>20.8</v>
      </c>
      <c r="CS437">
        <v>20.8</v>
      </c>
      <c r="CT437">
        <v>20.8</v>
      </c>
      <c r="DE437" t="s">
        <v>0</v>
      </c>
    </row>
    <row r="438" spans="1:109" hidden="1" x14ac:dyDescent="0.35">
      <c r="A438">
        <v>197536</v>
      </c>
      <c r="B438">
        <v>197536</v>
      </c>
      <c r="D438" t="s">
        <v>121</v>
      </c>
      <c r="E438" t="s">
        <v>99</v>
      </c>
      <c r="F438" t="s">
        <v>258</v>
      </c>
      <c r="G438" t="s">
        <v>97</v>
      </c>
      <c r="J438">
        <v>356563721</v>
      </c>
      <c r="K438" t="s">
        <v>272</v>
      </c>
      <c r="L438" t="s">
        <v>276</v>
      </c>
      <c r="M438" t="s">
        <v>70</v>
      </c>
      <c r="P438" t="s">
        <v>5</v>
      </c>
      <c r="Q438" t="s">
        <v>4</v>
      </c>
      <c r="R438" t="s">
        <v>12</v>
      </c>
      <c r="S438" t="s">
        <v>2</v>
      </c>
      <c r="AI438" t="s">
        <v>275</v>
      </c>
      <c r="AJ438" t="s">
        <v>274</v>
      </c>
      <c r="AL438">
        <v>4602276</v>
      </c>
      <c r="AM438" t="s">
        <v>114</v>
      </c>
      <c r="AN438" t="s">
        <v>256</v>
      </c>
      <c r="AO438" t="s">
        <v>273</v>
      </c>
      <c r="AP438" t="s">
        <v>272</v>
      </c>
      <c r="AQ438" t="s">
        <v>271</v>
      </c>
      <c r="AR438" s="1">
        <v>44092</v>
      </c>
      <c r="AX438">
        <v>11</v>
      </c>
      <c r="AY438">
        <v>649769</v>
      </c>
      <c r="AZ438">
        <v>5527924</v>
      </c>
      <c r="BA438">
        <v>2896</v>
      </c>
      <c r="BB438" t="s">
        <v>234</v>
      </c>
      <c r="BC438" t="s">
        <v>270</v>
      </c>
      <c r="BD438" t="s">
        <v>94</v>
      </c>
      <c r="BE438" t="s">
        <v>232</v>
      </c>
      <c r="BF438" t="s">
        <v>231</v>
      </c>
      <c r="BG438">
        <v>3</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16.6419861537718</v>
      </c>
      <c r="CL438">
        <v>19.3921583374592</v>
      </c>
      <c r="CM438">
        <v>16.64</v>
      </c>
      <c r="CN438">
        <v>19.39</v>
      </c>
      <c r="CO438">
        <v>16.64</v>
      </c>
      <c r="CP438">
        <v>16.64</v>
      </c>
      <c r="CQ438">
        <v>19.39</v>
      </c>
      <c r="CR438">
        <v>19.39</v>
      </c>
      <c r="CS438">
        <v>19.39</v>
      </c>
      <c r="CT438">
        <v>19.39</v>
      </c>
      <c r="DE438" t="s">
        <v>0</v>
      </c>
    </row>
    <row r="439" spans="1:109" hidden="1" x14ac:dyDescent="0.35">
      <c r="A439">
        <v>197558</v>
      </c>
      <c r="B439">
        <v>197558</v>
      </c>
      <c r="D439" t="s">
        <v>121</v>
      </c>
      <c r="E439" t="s">
        <v>120</v>
      </c>
      <c r="F439" t="s">
        <v>104</v>
      </c>
      <c r="G439" t="s">
        <v>97</v>
      </c>
      <c r="H439" t="s">
        <v>168</v>
      </c>
      <c r="J439">
        <v>356551142</v>
      </c>
      <c r="K439" t="s">
        <v>264</v>
      </c>
      <c r="L439" t="s">
        <v>165</v>
      </c>
      <c r="M439" t="s">
        <v>39</v>
      </c>
      <c r="P439" t="s">
        <v>5</v>
      </c>
      <c r="Q439" t="s">
        <v>4</v>
      </c>
      <c r="R439" t="s">
        <v>12</v>
      </c>
      <c r="S439" t="s">
        <v>2</v>
      </c>
      <c r="V439" t="s">
        <v>36</v>
      </c>
      <c r="AI439" t="s">
        <v>269</v>
      </c>
      <c r="AJ439" t="s">
        <v>268</v>
      </c>
      <c r="AK439" t="s">
        <v>267</v>
      </c>
      <c r="AL439">
        <v>4600039</v>
      </c>
      <c r="AM439" t="s">
        <v>114</v>
      </c>
      <c r="AN439" t="s">
        <v>113</v>
      </c>
      <c r="AO439" t="s">
        <v>165</v>
      </c>
      <c r="AP439" t="s">
        <v>264</v>
      </c>
      <c r="AQ439" t="s">
        <v>266</v>
      </c>
      <c r="AR439" s="1">
        <v>44091</v>
      </c>
      <c r="AX439">
        <v>11</v>
      </c>
      <c r="AY439">
        <v>651829</v>
      </c>
      <c r="AZ439">
        <v>5522539</v>
      </c>
      <c r="BA439">
        <v>5309</v>
      </c>
      <c r="BB439" t="s">
        <v>265</v>
      </c>
      <c r="BC439" t="s">
        <v>134</v>
      </c>
      <c r="BD439" t="s">
        <v>94</v>
      </c>
      <c r="BE439" t="s">
        <v>264</v>
      </c>
      <c r="BF439" t="s">
        <v>263</v>
      </c>
      <c r="BG439">
        <v>3</v>
      </c>
      <c r="BM439">
        <v>0</v>
      </c>
      <c r="BN439">
        <v>0</v>
      </c>
      <c r="BO439">
        <v>0</v>
      </c>
      <c r="BP439">
        <v>0</v>
      </c>
      <c r="BQ439">
        <v>0</v>
      </c>
      <c r="BR439">
        <v>0</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DE439" t="s">
        <v>0</v>
      </c>
    </row>
    <row r="440" spans="1:109" hidden="1" x14ac:dyDescent="0.35">
      <c r="A440">
        <v>197823</v>
      </c>
      <c r="B440">
        <v>197823</v>
      </c>
      <c r="D440" t="s">
        <v>121</v>
      </c>
      <c r="E440" t="s">
        <v>99</v>
      </c>
      <c r="F440" t="s">
        <v>258</v>
      </c>
      <c r="G440" t="s">
        <v>97</v>
      </c>
      <c r="J440">
        <v>356563941</v>
      </c>
      <c r="K440" t="s">
        <v>253</v>
      </c>
      <c r="L440" t="s">
        <v>26</v>
      </c>
      <c r="M440" t="s">
        <v>70</v>
      </c>
      <c r="P440" t="s">
        <v>5</v>
      </c>
      <c r="Q440" t="s">
        <v>4</v>
      </c>
      <c r="R440" t="s">
        <v>12</v>
      </c>
      <c r="S440" t="s">
        <v>2</v>
      </c>
      <c r="AB440" s="1">
        <v>45607</v>
      </c>
      <c r="AI440" t="s">
        <v>68</v>
      </c>
      <c r="AJ440" t="s">
        <v>262</v>
      </c>
      <c r="AK440" t="s">
        <v>261</v>
      </c>
      <c r="AL440">
        <v>24706614</v>
      </c>
      <c r="AM440" t="s">
        <v>114</v>
      </c>
      <c r="AN440" t="s">
        <v>256</v>
      </c>
      <c r="AP440" t="s">
        <v>253</v>
      </c>
      <c r="AQ440" t="s">
        <v>260</v>
      </c>
      <c r="AR440" s="1">
        <v>44502</v>
      </c>
      <c r="AX440">
        <v>11</v>
      </c>
      <c r="AY440">
        <v>653180</v>
      </c>
      <c r="AZ440">
        <v>5566732</v>
      </c>
      <c r="BA440">
        <v>1882</v>
      </c>
      <c r="BB440" t="s">
        <v>254</v>
      </c>
      <c r="BC440" t="s">
        <v>259</v>
      </c>
      <c r="BD440" t="s">
        <v>94</v>
      </c>
      <c r="BE440" t="s">
        <v>253</v>
      </c>
      <c r="BF440" t="s">
        <v>252</v>
      </c>
      <c r="BG440">
        <v>3</v>
      </c>
      <c r="BH440" t="s">
        <v>251</v>
      </c>
      <c r="BI440">
        <v>2</v>
      </c>
      <c r="BM440">
        <v>0</v>
      </c>
      <c r="BN440">
        <v>0</v>
      </c>
      <c r="BO440">
        <v>0</v>
      </c>
      <c r="BP440">
        <v>0</v>
      </c>
      <c r="BQ440">
        <v>0</v>
      </c>
      <c r="BR440">
        <v>0</v>
      </c>
      <c r="BS440">
        <v>0</v>
      </c>
      <c r="BT440">
        <v>0</v>
      </c>
      <c r="BU440">
        <v>0</v>
      </c>
      <c r="BV440">
        <v>0</v>
      </c>
      <c r="BW440">
        <v>0</v>
      </c>
      <c r="BX440">
        <v>0</v>
      </c>
      <c r="BY440">
        <v>0</v>
      </c>
      <c r="BZ440">
        <v>0</v>
      </c>
      <c r="CA440">
        <v>0</v>
      </c>
      <c r="CB440">
        <v>0</v>
      </c>
      <c r="CC440">
        <v>0</v>
      </c>
      <c r="CD440">
        <v>0</v>
      </c>
      <c r="CE440">
        <v>0</v>
      </c>
      <c r="CF440">
        <v>0</v>
      </c>
      <c r="CG440">
        <v>0</v>
      </c>
      <c r="CH440">
        <v>0</v>
      </c>
      <c r="CI440">
        <v>0</v>
      </c>
      <c r="CJ440">
        <v>0</v>
      </c>
      <c r="CK440">
        <v>8.2183615815322195</v>
      </c>
      <c r="CL440">
        <v>8.6538441467334604</v>
      </c>
      <c r="CM440">
        <v>8.2200000000000006</v>
      </c>
      <c r="CN440">
        <v>8.6300000000000008</v>
      </c>
      <c r="CO440">
        <v>8.2200000000000006</v>
      </c>
      <c r="CP440">
        <v>8.2200000000000006</v>
      </c>
      <c r="CQ440">
        <v>8.65</v>
      </c>
      <c r="CR440">
        <v>8.65</v>
      </c>
      <c r="CS440">
        <v>8.65</v>
      </c>
      <c r="CT440">
        <v>8.65</v>
      </c>
      <c r="DE440" t="s">
        <v>0</v>
      </c>
    </row>
    <row r="441" spans="1:109" hidden="1" x14ac:dyDescent="0.35">
      <c r="A441">
        <v>197824</v>
      </c>
      <c r="B441">
        <v>197824</v>
      </c>
      <c r="D441" t="s">
        <v>121</v>
      </c>
      <c r="E441" t="s">
        <v>99</v>
      </c>
      <c r="F441" t="s">
        <v>258</v>
      </c>
      <c r="G441" t="s">
        <v>97</v>
      </c>
      <c r="J441">
        <v>356563941</v>
      </c>
      <c r="K441" t="s">
        <v>253</v>
      </c>
      <c r="L441" t="s">
        <v>26</v>
      </c>
      <c r="M441" t="s">
        <v>70</v>
      </c>
      <c r="P441" t="s">
        <v>5</v>
      </c>
      <c r="Q441" t="s">
        <v>4</v>
      </c>
      <c r="R441" t="s">
        <v>12</v>
      </c>
      <c r="S441" t="s">
        <v>2</v>
      </c>
      <c r="AK441" t="s">
        <v>257</v>
      </c>
      <c r="AL441">
        <v>4604696</v>
      </c>
      <c r="AM441" t="s">
        <v>114</v>
      </c>
      <c r="AN441" t="s">
        <v>256</v>
      </c>
      <c r="AP441" t="s">
        <v>253</v>
      </c>
      <c r="AQ441" t="s">
        <v>255</v>
      </c>
      <c r="AR441" s="1">
        <v>44502</v>
      </c>
      <c r="AX441">
        <v>11</v>
      </c>
      <c r="AY441">
        <v>652346</v>
      </c>
      <c r="AZ441">
        <v>5566461</v>
      </c>
      <c r="BA441">
        <v>830</v>
      </c>
      <c r="BB441" t="s">
        <v>254</v>
      </c>
      <c r="BC441" t="s">
        <v>254</v>
      </c>
      <c r="BD441" t="s">
        <v>94</v>
      </c>
      <c r="BE441" t="s">
        <v>253</v>
      </c>
      <c r="BF441" t="s">
        <v>252</v>
      </c>
      <c r="BG441">
        <v>3</v>
      </c>
      <c r="BH441" t="s">
        <v>251</v>
      </c>
      <c r="BI441">
        <v>2</v>
      </c>
      <c r="BM441">
        <v>0</v>
      </c>
      <c r="BN441">
        <v>0</v>
      </c>
      <c r="BO441">
        <v>0</v>
      </c>
      <c r="BP441">
        <v>0</v>
      </c>
      <c r="BQ441">
        <v>0</v>
      </c>
      <c r="BR441">
        <v>0</v>
      </c>
      <c r="BS441">
        <v>0</v>
      </c>
      <c r="BT441">
        <v>0</v>
      </c>
      <c r="BU441">
        <v>0</v>
      </c>
      <c r="BV441">
        <v>0</v>
      </c>
      <c r="BW441">
        <v>0</v>
      </c>
      <c r="BX441">
        <v>0</v>
      </c>
      <c r="BY441">
        <v>0</v>
      </c>
      <c r="BZ441">
        <v>0</v>
      </c>
      <c r="CA441">
        <v>0</v>
      </c>
      <c r="CB441">
        <v>0</v>
      </c>
      <c r="CC441">
        <v>0</v>
      </c>
      <c r="CD441">
        <v>0</v>
      </c>
      <c r="CE441">
        <v>0</v>
      </c>
      <c r="CF441">
        <v>0</v>
      </c>
      <c r="CG441">
        <v>0</v>
      </c>
      <c r="CH441">
        <v>0</v>
      </c>
      <c r="CI441">
        <v>0</v>
      </c>
      <c r="CJ441">
        <v>0</v>
      </c>
      <c r="CK441">
        <v>9.2292879030070196</v>
      </c>
      <c r="CL441">
        <v>9.6647704682082605</v>
      </c>
      <c r="CM441">
        <v>9.23</v>
      </c>
      <c r="CN441">
        <v>9.64</v>
      </c>
      <c r="CO441">
        <v>9.23</v>
      </c>
      <c r="CP441">
        <v>9.23</v>
      </c>
      <c r="CQ441">
        <v>9.66</v>
      </c>
      <c r="CR441">
        <v>9.66</v>
      </c>
      <c r="CS441">
        <v>9.66</v>
      </c>
      <c r="CT441">
        <v>9.66</v>
      </c>
      <c r="DE441" t="s">
        <v>0</v>
      </c>
    </row>
    <row r="442" spans="1:109" hidden="1" x14ac:dyDescent="0.35">
      <c r="A442">
        <v>197835</v>
      </c>
      <c r="B442">
        <v>197835</v>
      </c>
      <c r="D442" t="s">
        <v>121</v>
      </c>
      <c r="E442" t="s">
        <v>120</v>
      </c>
      <c r="F442" t="s">
        <v>104</v>
      </c>
      <c r="G442" t="s">
        <v>119</v>
      </c>
      <c r="H442" t="s">
        <v>250</v>
      </c>
      <c r="J442">
        <v>356569015</v>
      </c>
      <c r="K442" t="s">
        <v>143</v>
      </c>
      <c r="L442" t="s">
        <v>246</v>
      </c>
      <c r="M442" t="s">
        <v>39</v>
      </c>
      <c r="P442" t="s">
        <v>38</v>
      </c>
      <c r="Q442" t="s">
        <v>4</v>
      </c>
      <c r="V442" t="s">
        <v>36</v>
      </c>
      <c r="AE442" t="s">
        <v>35</v>
      </c>
      <c r="AI442" t="s">
        <v>249</v>
      </c>
      <c r="AJ442" t="s">
        <v>248</v>
      </c>
      <c r="AK442" t="s">
        <v>247</v>
      </c>
      <c r="AL442">
        <v>4600088</v>
      </c>
      <c r="AM442" t="s">
        <v>114</v>
      </c>
      <c r="AN442" t="s">
        <v>113</v>
      </c>
      <c r="AO442" t="s">
        <v>246</v>
      </c>
      <c r="AP442" t="s">
        <v>143</v>
      </c>
      <c r="AQ442" t="s">
        <v>245</v>
      </c>
      <c r="AR442" s="1">
        <v>44484</v>
      </c>
      <c r="AX442">
        <v>11</v>
      </c>
      <c r="AY442">
        <v>647446</v>
      </c>
      <c r="AZ442">
        <v>5494640</v>
      </c>
      <c r="BA442">
        <v>877</v>
      </c>
      <c r="BB442" t="s">
        <v>145</v>
      </c>
      <c r="BC442" t="s">
        <v>144</v>
      </c>
      <c r="BD442" t="s">
        <v>94</v>
      </c>
      <c r="BE442" t="s">
        <v>143</v>
      </c>
      <c r="BF442" t="s">
        <v>244</v>
      </c>
      <c r="BG442">
        <v>3</v>
      </c>
      <c r="BM442">
        <v>0</v>
      </c>
      <c r="BN442">
        <v>0</v>
      </c>
      <c r="BO442">
        <v>0</v>
      </c>
      <c r="BP442">
        <v>0</v>
      </c>
      <c r="BQ442">
        <v>0</v>
      </c>
      <c r="BR442">
        <v>0</v>
      </c>
      <c r="BS442">
        <v>0</v>
      </c>
      <c r="BT442">
        <v>0</v>
      </c>
      <c r="BU442">
        <v>0</v>
      </c>
      <c r="BV442">
        <v>0</v>
      </c>
      <c r="BW442">
        <v>0</v>
      </c>
      <c r="BX442">
        <v>0</v>
      </c>
      <c r="BY442">
        <v>0</v>
      </c>
      <c r="BZ442">
        <v>0</v>
      </c>
      <c r="CA442">
        <v>0</v>
      </c>
      <c r="CB442">
        <v>0</v>
      </c>
      <c r="CC442">
        <v>0</v>
      </c>
      <c r="CD442">
        <v>0</v>
      </c>
      <c r="CE442">
        <v>0</v>
      </c>
      <c r="CF442">
        <v>0</v>
      </c>
      <c r="CG442">
        <v>0</v>
      </c>
      <c r="CH442">
        <v>0</v>
      </c>
      <c r="CI442">
        <v>0</v>
      </c>
      <c r="CJ442">
        <v>0</v>
      </c>
      <c r="CK442">
        <v>0</v>
      </c>
      <c r="CL442">
        <v>0</v>
      </c>
      <c r="CM442">
        <v>0</v>
      </c>
      <c r="CN442">
        <v>0</v>
      </c>
      <c r="CO442">
        <v>0</v>
      </c>
      <c r="CP442">
        <v>0</v>
      </c>
      <c r="CQ442">
        <v>0</v>
      </c>
      <c r="CR442">
        <v>0</v>
      </c>
      <c r="CS442">
        <v>0</v>
      </c>
      <c r="CT442">
        <v>0</v>
      </c>
      <c r="DE442" t="s">
        <v>0</v>
      </c>
    </row>
    <row r="443" spans="1:109" hidden="1" x14ac:dyDescent="0.35">
      <c r="A443">
        <v>199902</v>
      </c>
      <c r="B443">
        <v>199902</v>
      </c>
      <c r="D443" t="s">
        <v>121</v>
      </c>
      <c r="E443" t="s">
        <v>180</v>
      </c>
      <c r="F443" t="s">
        <v>104</v>
      </c>
      <c r="G443" t="s">
        <v>97</v>
      </c>
      <c r="I443" t="s">
        <v>7</v>
      </c>
      <c r="J443">
        <v>356566187</v>
      </c>
      <c r="K443" t="s">
        <v>239</v>
      </c>
      <c r="L443" t="s">
        <v>159</v>
      </c>
      <c r="M443" t="s">
        <v>39</v>
      </c>
      <c r="P443" t="s">
        <v>5</v>
      </c>
      <c r="Q443" t="s">
        <v>4</v>
      </c>
      <c r="R443" t="s">
        <v>12</v>
      </c>
      <c r="S443" t="s">
        <v>2</v>
      </c>
      <c r="AI443" t="s">
        <v>243</v>
      </c>
      <c r="AK443" t="s">
        <v>242</v>
      </c>
      <c r="AL443">
        <v>4606806</v>
      </c>
      <c r="AM443" t="s">
        <v>114</v>
      </c>
      <c r="AN443" t="s">
        <v>113</v>
      </c>
      <c r="AP443" t="s">
        <v>239</v>
      </c>
      <c r="AQ443" t="s">
        <v>241</v>
      </c>
      <c r="AR443" s="1">
        <v>45516</v>
      </c>
      <c r="AX443">
        <v>11</v>
      </c>
      <c r="AY443">
        <v>640824</v>
      </c>
      <c r="AZ443">
        <v>5480403</v>
      </c>
      <c r="BA443">
        <v>2759</v>
      </c>
      <c r="BB443" t="s">
        <v>240</v>
      </c>
      <c r="BC443" t="s">
        <v>157</v>
      </c>
      <c r="BD443" t="s">
        <v>94</v>
      </c>
      <c r="BE443" t="s">
        <v>239</v>
      </c>
      <c r="BF443" t="s">
        <v>238</v>
      </c>
      <c r="BG443">
        <v>3</v>
      </c>
      <c r="BH443">
        <v>197570</v>
      </c>
      <c r="BI443">
        <v>1</v>
      </c>
      <c r="BM443">
        <v>0</v>
      </c>
      <c r="BN443">
        <v>0</v>
      </c>
      <c r="BO443">
        <v>0</v>
      </c>
      <c r="BP443">
        <v>0</v>
      </c>
      <c r="BQ443">
        <v>0</v>
      </c>
      <c r="BR443">
        <v>0</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0.812999999999934</v>
      </c>
      <c r="CM443">
        <v>0</v>
      </c>
      <c r="CN443">
        <v>0.12</v>
      </c>
      <c r="CO443">
        <v>0</v>
      </c>
      <c r="CP443">
        <v>0</v>
      </c>
      <c r="CQ443">
        <v>0.81</v>
      </c>
      <c r="CR443">
        <v>0.81</v>
      </c>
      <c r="CS443">
        <v>0.81</v>
      </c>
      <c r="CT443">
        <v>0.81</v>
      </c>
      <c r="DE443" t="s">
        <v>0</v>
      </c>
    </row>
    <row r="444" spans="1:109" s="2" customFormat="1" hidden="1" x14ac:dyDescent="0.35">
      <c r="A444" s="2">
        <v>1004604566</v>
      </c>
      <c r="D444" s="2" t="s">
        <v>100</v>
      </c>
      <c r="E444" s="2" t="s">
        <v>99</v>
      </c>
      <c r="F444" s="2" t="s">
        <v>104</v>
      </c>
      <c r="G444" s="2" t="s">
        <v>103</v>
      </c>
      <c r="J444" s="2">
        <v>356563871</v>
      </c>
      <c r="AL444" s="2">
        <v>4604566</v>
      </c>
      <c r="AX444" s="2">
        <v>11</v>
      </c>
      <c r="AY444" s="2">
        <v>660666</v>
      </c>
      <c r="AZ444" s="2">
        <v>5533454</v>
      </c>
      <c r="BA444" s="2">
        <v>10658.535679308399</v>
      </c>
      <c r="BB444" s="2" t="s">
        <v>96</v>
      </c>
      <c r="BC444" s="2" t="s">
        <v>237</v>
      </c>
      <c r="BD444" s="2" t="s">
        <v>94</v>
      </c>
      <c r="BE444" s="2" t="s">
        <v>93</v>
      </c>
      <c r="BF444" s="2" t="s">
        <v>236</v>
      </c>
      <c r="BG444" s="2">
        <v>3</v>
      </c>
      <c r="BH444" s="2" t="s">
        <v>235</v>
      </c>
      <c r="BI444" s="2">
        <v>12</v>
      </c>
      <c r="BM444" s="2">
        <v>0</v>
      </c>
      <c r="BN444" s="2">
        <v>0</v>
      </c>
      <c r="BO444" s="2">
        <v>0</v>
      </c>
      <c r="BP444" s="2">
        <v>0</v>
      </c>
      <c r="BQ444" s="2">
        <v>0</v>
      </c>
      <c r="BR444" s="2">
        <v>0</v>
      </c>
      <c r="BS444" s="2">
        <v>0</v>
      </c>
      <c r="BT444" s="2">
        <v>0</v>
      </c>
      <c r="BU444" s="2">
        <v>0</v>
      </c>
      <c r="BV444" s="2">
        <v>0</v>
      </c>
      <c r="BW444" s="2">
        <v>0</v>
      </c>
      <c r="BX444" s="2">
        <v>0</v>
      </c>
      <c r="BY444" s="2">
        <v>0</v>
      </c>
      <c r="BZ444" s="2">
        <v>0</v>
      </c>
      <c r="CA444" s="2">
        <v>0</v>
      </c>
      <c r="CB444" s="2">
        <v>0</v>
      </c>
      <c r="CC444" s="2">
        <v>0</v>
      </c>
      <c r="CD444" s="2">
        <v>0</v>
      </c>
      <c r="CE444" s="2">
        <v>0</v>
      </c>
      <c r="CF444" s="2">
        <v>0</v>
      </c>
      <c r="CG444" s="2">
        <v>0</v>
      </c>
      <c r="CH444" s="2">
        <v>0</v>
      </c>
      <c r="CI444" s="2">
        <v>0</v>
      </c>
      <c r="CJ444" s="2">
        <v>0</v>
      </c>
      <c r="CK444" s="2">
        <v>4.9549322550097497</v>
      </c>
      <c r="CL444" s="2">
        <v>7.2346201538873398</v>
      </c>
      <c r="CM444" s="2">
        <v>0</v>
      </c>
      <c r="CN444" s="2">
        <v>0</v>
      </c>
      <c r="CO444" s="2">
        <v>4.95</v>
      </c>
      <c r="CP444" s="2">
        <v>0</v>
      </c>
      <c r="CQ444" s="2">
        <v>7.23</v>
      </c>
      <c r="CR444" s="2">
        <v>0</v>
      </c>
      <c r="CS444" s="2">
        <v>7.23</v>
      </c>
      <c r="CT444" s="2">
        <v>0</v>
      </c>
      <c r="DE444" s="2" t="s">
        <v>0</v>
      </c>
    </row>
    <row r="445" spans="1:109" hidden="1" x14ac:dyDescent="0.35">
      <c r="A445">
        <v>1024706664</v>
      </c>
      <c r="D445" t="s">
        <v>100</v>
      </c>
      <c r="E445" t="s">
        <v>99</v>
      </c>
      <c r="F445" t="s">
        <v>98</v>
      </c>
      <c r="G445" t="s">
        <v>97</v>
      </c>
      <c r="J445">
        <v>356563721</v>
      </c>
      <c r="AL445">
        <v>24706664</v>
      </c>
      <c r="AX445">
        <v>11</v>
      </c>
      <c r="AY445">
        <v>647851</v>
      </c>
      <c r="AZ445">
        <v>5527798</v>
      </c>
      <c r="BA445">
        <v>5453.8056408862603</v>
      </c>
      <c r="BB445" t="s">
        <v>234</v>
      </c>
      <c r="BC445" t="s">
        <v>233</v>
      </c>
      <c r="BD445" t="s">
        <v>94</v>
      </c>
      <c r="BE445" t="s">
        <v>232</v>
      </c>
      <c r="BF445" t="s">
        <v>231</v>
      </c>
      <c r="BG445">
        <v>3</v>
      </c>
      <c r="BM445">
        <v>0</v>
      </c>
      <c r="BN445">
        <v>0</v>
      </c>
      <c r="BO445">
        <v>0</v>
      </c>
      <c r="BP445">
        <v>0</v>
      </c>
      <c r="BQ445">
        <v>0</v>
      </c>
      <c r="BR445">
        <v>0</v>
      </c>
      <c r="BS445">
        <v>0</v>
      </c>
      <c r="BT445">
        <v>0</v>
      </c>
      <c r="BU445">
        <v>0</v>
      </c>
      <c r="BV445">
        <v>0</v>
      </c>
      <c r="BW445">
        <v>0</v>
      </c>
      <c r="BX445">
        <v>0</v>
      </c>
      <c r="BY445">
        <v>0</v>
      </c>
      <c r="BZ445">
        <v>0</v>
      </c>
      <c r="CA445">
        <v>0</v>
      </c>
      <c r="CB445">
        <v>0</v>
      </c>
      <c r="CC445">
        <v>0</v>
      </c>
      <c r="CD445">
        <v>0</v>
      </c>
      <c r="CE445">
        <v>0</v>
      </c>
      <c r="CF445">
        <v>0</v>
      </c>
      <c r="CG445">
        <v>0</v>
      </c>
      <c r="CH445">
        <v>0</v>
      </c>
      <c r="CI445">
        <v>0</v>
      </c>
      <c r="CJ445">
        <v>0</v>
      </c>
      <c r="CK445">
        <v>14.083986680319899</v>
      </c>
      <c r="CL445">
        <v>16.8341588640073</v>
      </c>
      <c r="CM445">
        <v>14.08</v>
      </c>
      <c r="CN445">
        <v>16.829999999999998</v>
      </c>
      <c r="CO445">
        <v>14.08</v>
      </c>
      <c r="CP445">
        <v>14.08</v>
      </c>
      <c r="CQ445">
        <v>16.829999999999998</v>
      </c>
      <c r="CR445">
        <v>16.829999999999998</v>
      </c>
      <c r="CS445">
        <v>16.829999999999998</v>
      </c>
      <c r="CT445">
        <v>16.829999999999998</v>
      </c>
      <c r="DE445" t="s">
        <v>0</v>
      </c>
    </row>
    <row r="446" spans="1:109" hidden="1" x14ac:dyDescent="0.35">
      <c r="A446">
        <v>197529</v>
      </c>
      <c r="B446">
        <v>197529</v>
      </c>
      <c r="D446" t="s">
        <v>121</v>
      </c>
      <c r="E446" t="s">
        <v>120</v>
      </c>
      <c r="F446" t="s">
        <v>104</v>
      </c>
      <c r="G446" t="s">
        <v>119</v>
      </c>
      <c r="H446" t="s">
        <v>168</v>
      </c>
      <c r="J446">
        <v>356548789</v>
      </c>
      <c r="K446" t="s">
        <v>133</v>
      </c>
      <c r="L446" t="s">
        <v>165</v>
      </c>
      <c r="M446" t="s">
        <v>39</v>
      </c>
      <c r="P446" t="s">
        <v>5</v>
      </c>
      <c r="Q446" t="s">
        <v>4</v>
      </c>
      <c r="R446" t="s">
        <v>52</v>
      </c>
      <c r="S446" t="s">
        <v>2</v>
      </c>
      <c r="V446" t="s">
        <v>51</v>
      </c>
      <c r="AI446" t="s">
        <v>230</v>
      </c>
      <c r="AK446" t="s">
        <v>229</v>
      </c>
      <c r="AL446">
        <v>4600094</v>
      </c>
      <c r="AM446" t="s">
        <v>114</v>
      </c>
      <c r="AN446" t="s">
        <v>113</v>
      </c>
      <c r="AO446" t="s">
        <v>165</v>
      </c>
      <c r="AP446" t="s">
        <v>133</v>
      </c>
      <c r="AQ446" t="s">
        <v>228</v>
      </c>
      <c r="AR446" s="1">
        <v>44091</v>
      </c>
      <c r="AX446">
        <v>11</v>
      </c>
      <c r="AY446">
        <v>651536</v>
      </c>
      <c r="AZ446">
        <v>5521058</v>
      </c>
      <c r="BA446">
        <v>889</v>
      </c>
      <c r="BB446" t="s">
        <v>134</v>
      </c>
      <c r="BC446" t="s">
        <v>110</v>
      </c>
      <c r="BD446" t="s">
        <v>94</v>
      </c>
      <c r="BE446" t="s">
        <v>133</v>
      </c>
      <c r="BF446" t="s">
        <v>227</v>
      </c>
      <c r="BG446">
        <v>4</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DE446" t="s">
        <v>0</v>
      </c>
    </row>
    <row r="447" spans="1:109" hidden="1" x14ac:dyDescent="0.35">
      <c r="A447">
        <v>197550</v>
      </c>
      <c r="B447">
        <v>197550</v>
      </c>
      <c r="D447" t="s">
        <v>121</v>
      </c>
      <c r="E447" t="s">
        <v>99</v>
      </c>
      <c r="F447" t="s">
        <v>104</v>
      </c>
      <c r="G447" t="s">
        <v>103</v>
      </c>
      <c r="J447">
        <v>356546175</v>
      </c>
      <c r="K447" t="s">
        <v>19</v>
      </c>
      <c r="L447" t="s">
        <v>226</v>
      </c>
      <c r="M447" t="s">
        <v>39</v>
      </c>
      <c r="P447" t="s">
        <v>5</v>
      </c>
      <c r="Q447" t="s">
        <v>4</v>
      </c>
      <c r="R447" t="s">
        <v>52</v>
      </c>
      <c r="S447" t="s">
        <v>2</v>
      </c>
      <c r="V447" t="s">
        <v>51</v>
      </c>
      <c r="AI447" t="s">
        <v>225</v>
      </c>
      <c r="AK447" t="s">
        <v>224</v>
      </c>
      <c r="AM447" t="s">
        <v>114</v>
      </c>
      <c r="AN447" t="s">
        <v>113</v>
      </c>
      <c r="AO447" t="s">
        <v>223</v>
      </c>
      <c r="AP447" t="s">
        <v>19</v>
      </c>
      <c r="AQ447" t="s">
        <v>222</v>
      </c>
      <c r="AR447" s="1">
        <v>44097</v>
      </c>
      <c r="AX447">
        <v>11</v>
      </c>
      <c r="AY447">
        <v>640342</v>
      </c>
      <c r="AZ447">
        <v>5481026</v>
      </c>
      <c r="BA447">
        <v>713</v>
      </c>
      <c r="BB447" t="s">
        <v>156</v>
      </c>
      <c r="BC447" t="s">
        <v>156</v>
      </c>
      <c r="BD447" t="s">
        <v>94</v>
      </c>
      <c r="BF447" t="s">
        <v>221</v>
      </c>
      <c r="BG447">
        <v>4</v>
      </c>
      <c r="BM447">
        <v>0</v>
      </c>
      <c r="BN447">
        <v>0</v>
      </c>
      <c r="BO447">
        <v>0</v>
      </c>
      <c r="BP447">
        <v>0</v>
      </c>
      <c r="BQ447">
        <v>0</v>
      </c>
      <c r="BR447">
        <v>0</v>
      </c>
      <c r="BS447">
        <v>0</v>
      </c>
      <c r="BT447">
        <v>0</v>
      </c>
      <c r="BU447">
        <v>0</v>
      </c>
      <c r="BV447">
        <v>0</v>
      </c>
      <c r="BW447">
        <v>0</v>
      </c>
      <c r="BX447">
        <v>0</v>
      </c>
      <c r="BY447">
        <v>0</v>
      </c>
      <c r="BZ447">
        <v>0</v>
      </c>
      <c r="CA447">
        <v>0</v>
      </c>
      <c r="CB447">
        <v>0</v>
      </c>
      <c r="CC447">
        <v>0</v>
      </c>
      <c r="CD447">
        <v>0</v>
      </c>
      <c r="CE447">
        <v>0</v>
      </c>
      <c r="CF447">
        <v>0</v>
      </c>
      <c r="CG447">
        <v>0</v>
      </c>
      <c r="CH447">
        <v>0</v>
      </c>
      <c r="CI447">
        <v>0</v>
      </c>
      <c r="CJ447">
        <v>0</v>
      </c>
      <c r="CK447">
        <v>0</v>
      </c>
      <c r="CL447">
        <v>0</v>
      </c>
      <c r="CM447">
        <v>0</v>
      </c>
      <c r="CN447">
        <v>0</v>
      </c>
      <c r="CO447">
        <v>0</v>
      </c>
      <c r="CP447">
        <v>0</v>
      </c>
      <c r="CQ447">
        <v>0</v>
      </c>
      <c r="CR447">
        <v>0</v>
      </c>
      <c r="CS447">
        <v>0</v>
      </c>
      <c r="CT447">
        <v>0</v>
      </c>
      <c r="DE447" t="s">
        <v>0</v>
      </c>
    </row>
    <row r="448" spans="1:109" hidden="1" x14ac:dyDescent="0.35">
      <c r="A448">
        <v>197561</v>
      </c>
      <c r="B448">
        <v>197561</v>
      </c>
      <c r="D448" t="s">
        <v>121</v>
      </c>
      <c r="E448" t="s">
        <v>120</v>
      </c>
      <c r="F448" t="s">
        <v>104</v>
      </c>
      <c r="G448" t="s">
        <v>119</v>
      </c>
      <c r="H448" t="s">
        <v>118</v>
      </c>
      <c r="J448">
        <v>356507537</v>
      </c>
      <c r="K448" t="s">
        <v>216</v>
      </c>
      <c r="L448" t="s">
        <v>112</v>
      </c>
      <c r="M448" t="s">
        <v>39</v>
      </c>
      <c r="P448" t="s">
        <v>5</v>
      </c>
      <c r="Q448" t="s">
        <v>4</v>
      </c>
      <c r="R448" t="s">
        <v>52</v>
      </c>
      <c r="S448" t="s">
        <v>2</v>
      </c>
      <c r="V448" t="s">
        <v>51</v>
      </c>
      <c r="AI448" t="s">
        <v>220</v>
      </c>
      <c r="AK448" t="s">
        <v>219</v>
      </c>
      <c r="AL448">
        <v>4600186</v>
      </c>
      <c r="AM448" t="s">
        <v>114</v>
      </c>
      <c r="AN448" t="s">
        <v>113</v>
      </c>
      <c r="AO448" t="s">
        <v>112</v>
      </c>
      <c r="AP448" t="s">
        <v>216</v>
      </c>
      <c r="AQ448" t="s">
        <v>218</v>
      </c>
      <c r="AR448" s="1">
        <v>44092</v>
      </c>
      <c r="AX448">
        <v>11</v>
      </c>
      <c r="AY448">
        <v>651051</v>
      </c>
      <c r="AZ448">
        <v>5519350</v>
      </c>
      <c r="BA448">
        <v>1141</v>
      </c>
      <c r="BB448" t="s">
        <v>217</v>
      </c>
      <c r="BC448" t="s">
        <v>217</v>
      </c>
      <c r="BD448" t="s">
        <v>94</v>
      </c>
      <c r="BE448" t="s">
        <v>216</v>
      </c>
      <c r="BF448" t="s">
        <v>215</v>
      </c>
      <c r="BG448">
        <v>4</v>
      </c>
      <c r="BM448">
        <v>0</v>
      </c>
      <c r="BN448">
        <v>0</v>
      </c>
      <c r="BO448">
        <v>0</v>
      </c>
      <c r="BP448">
        <v>0</v>
      </c>
      <c r="BQ448">
        <v>0</v>
      </c>
      <c r="BR448">
        <v>0</v>
      </c>
      <c r="BS448">
        <v>0</v>
      </c>
      <c r="BT448">
        <v>0</v>
      </c>
      <c r="BU448">
        <v>0</v>
      </c>
      <c r="BV448">
        <v>0</v>
      </c>
      <c r="BW448">
        <v>0</v>
      </c>
      <c r="BX448">
        <v>0</v>
      </c>
      <c r="BY448">
        <v>0</v>
      </c>
      <c r="BZ448">
        <v>0</v>
      </c>
      <c r="CA448">
        <v>0</v>
      </c>
      <c r="CB448">
        <v>0</v>
      </c>
      <c r="CC448">
        <v>0</v>
      </c>
      <c r="CD448">
        <v>0</v>
      </c>
      <c r="CE448">
        <v>0</v>
      </c>
      <c r="CF448">
        <v>0</v>
      </c>
      <c r="CG448">
        <v>0</v>
      </c>
      <c r="CH448">
        <v>0</v>
      </c>
      <c r="CI448">
        <v>0</v>
      </c>
      <c r="CJ448">
        <v>0</v>
      </c>
      <c r="CK448">
        <v>0</v>
      </c>
      <c r="CL448">
        <v>0</v>
      </c>
      <c r="CM448">
        <v>0</v>
      </c>
      <c r="CN448">
        <v>0</v>
      </c>
      <c r="CO448">
        <v>0</v>
      </c>
      <c r="CP448">
        <v>0</v>
      </c>
      <c r="CQ448">
        <v>0</v>
      </c>
      <c r="CR448">
        <v>0</v>
      </c>
      <c r="CS448">
        <v>0</v>
      </c>
      <c r="CT448">
        <v>0</v>
      </c>
      <c r="DE448" t="s">
        <v>0</v>
      </c>
    </row>
    <row r="449" spans="1:109" hidden="1" x14ac:dyDescent="0.35">
      <c r="A449">
        <v>197574</v>
      </c>
      <c r="B449">
        <v>197574</v>
      </c>
      <c r="D449" t="s">
        <v>121</v>
      </c>
      <c r="E449" t="s">
        <v>99</v>
      </c>
      <c r="F449" t="s">
        <v>104</v>
      </c>
      <c r="G449" t="s">
        <v>119</v>
      </c>
      <c r="J449">
        <v>356541034</v>
      </c>
      <c r="K449" t="s">
        <v>19</v>
      </c>
      <c r="L449" t="s">
        <v>53</v>
      </c>
      <c r="M449" t="s">
        <v>39</v>
      </c>
      <c r="P449" t="s">
        <v>5</v>
      </c>
      <c r="Q449" t="s">
        <v>37</v>
      </c>
      <c r="R449" t="s">
        <v>52</v>
      </c>
      <c r="S449" t="s">
        <v>2</v>
      </c>
      <c r="V449" t="s">
        <v>51</v>
      </c>
      <c r="AI449" t="s">
        <v>214</v>
      </c>
      <c r="AK449" t="s">
        <v>213</v>
      </c>
      <c r="AL449">
        <v>4604155</v>
      </c>
      <c r="AM449" t="s">
        <v>114</v>
      </c>
      <c r="AN449" t="s">
        <v>113</v>
      </c>
      <c r="AO449" t="s">
        <v>53</v>
      </c>
      <c r="AP449" t="s">
        <v>19</v>
      </c>
      <c r="AQ449" t="s">
        <v>212</v>
      </c>
      <c r="AR449" s="1">
        <v>44098</v>
      </c>
      <c r="AX449">
        <v>11</v>
      </c>
      <c r="AY449">
        <v>638652</v>
      </c>
      <c r="AZ449">
        <v>5480656</v>
      </c>
      <c r="BA449">
        <v>1204</v>
      </c>
      <c r="BB449" t="s">
        <v>152</v>
      </c>
      <c r="BC449" t="s">
        <v>151</v>
      </c>
      <c r="BD449" t="s">
        <v>94</v>
      </c>
      <c r="BF449" t="s">
        <v>211</v>
      </c>
      <c r="BG449">
        <v>4</v>
      </c>
      <c r="BM449">
        <v>0</v>
      </c>
      <c r="BN449">
        <v>0</v>
      </c>
      <c r="BO449">
        <v>0</v>
      </c>
      <c r="BP449">
        <v>0</v>
      </c>
      <c r="BQ449">
        <v>0</v>
      </c>
      <c r="BR449">
        <v>0</v>
      </c>
      <c r="BS449">
        <v>0</v>
      </c>
      <c r="BT449">
        <v>0</v>
      </c>
      <c r="BU449">
        <v>0</v>
      </c>
      <c r="BV449">
        <v>0</v>
      </c>
      <c r="BW449">
        <v>0</v>
      </c>
      <c r="BX449">
        <v>0</v>
      </c>
      <c r="BY449">
        <v>0</v>
      </c>
      <c r="BZ449">
        <v>0</v>
      </c>
      <c r="CA449">
        <v>0</v>
      </c>
      <c r="CB449">
        <v>0</v>
      </c>
      <c r="CC449">
        <v>0</v>
      </c>
      <c r="CD449">
        <v>0</v>
      </c>
      <c r="CE449">
        <v>0</v>
      </c>
      <c r="CF449">
        <v>0</v>
      </c>
      <c r="CG449">
        <v>0</v>
      </c>
      <c r="CH449">
        <v>0</v>
      </c>
      <c r="CI449">
        <v>0</v>
      </c>
      <c r="CJ449">
        <v>0</v>
      </c>
      <c r="CK449">
        <v>0</v>
      </c>
      <c r="CL449">
        <v>0</v>
      </c>
      <c r="CM449">
        <v>0</v>
      </c>
      <c r="CN449">
        <v>0</v>
      </c>
      <c r="CO449">
        <v>0</v>
      </c>
      <c r="CP449">
        <v>0</v>
      </c>
      <c r="CQ449">
        <v>0</v>
      </c>
      <c r="CR449">
        <v>0</v>
      </c>
      <c r="CS449">
        <v>0</v>
      </c>
      <c r="CT449">
        <v>0</v>
      </c>
      <c r="DE449" t="s">
        <v>0</v>
      </c>
    </row>
    <row r="450" spans="1:109" hidden="1" x14ac:dyDescent="0.35">
      <c r="A450">
        <v>197720</v>
      </c>
      <c r="B450">
        <v>197720</v>
      </c>
      <c r="D450" t="s">
        <v>121</v>
      </c>
      <c r="E450" t="s">
        <v>99</v>
      </c>
      <c r="F450" t="s">
        <v>104</v>
      </c>
      <c r="G450" t="s">
        <v>119</v>
      </c>
      <c r="H450" t="s">
        <v>194</v>
      </c>
      <c r="J450">
        <v>356525637</v>
      </c>
      <c r="K450" t="s">
        <v>193</v>
      </c>
      <c r="L450" t="s">
        <v>197</v>
      </c>
      <c r="M450" t="s">
        <v>39</v>
      </c>
      <c r="P450" t="s">
        <v>5</v>
      </c>
      <c r="Q450" t="s">
        <v>4</v>
      </c>
      <c r="R450" t="s">
        <v>52</v>
      </c>
      <c r="S450" t="s">
        <v>2</v>
      </c>
      <c r="V450" t="s">
        <v>51</v>
      </c>
      <c r="AI450" t="s">
        <v>210</v>
      </c>
      <c r="AK450" t="s">
        <v>209</v>
      </c>
      <c r="AL450">
        <v>4606515</v>
      </c>
      <c r="AM450" t="s">
        <v>114</v>
      </c>
      <c r="AN450" t="s">
        <v>113</v>
      </c>
      <c r="AO450" t="s">
        <v>194</v>
      </c>
      <c r="AP450" t="s">
        <v>193</v>
      </c>
      <c r="AQ450" t="s">
        <v>208</v>
      </c>
      <c r="AR450" s="1">
        <v>44118</v>
      </c>
      <c r="AX450">
        <v>11</v>
      </c>
      <c r="AY450">
        <v>642383</v>
      </c>
      <c r="AZ450">
        <v>5493831</v>
      </c>
      <c r="BA450">
        <v>27</v>
      </c>
      <c r="BB450" t="s">
        <v>207</v>
      </c>
      <c r="BC450" t="s">
        <v>207</v>
      </c>
      <c r="BD450" t="s">
        <v>94</v>
      </c>
      <c r="BF450" t="s">
        <v>189</v>
      </c>
      <c r="BG450">
        <v>4</v>
      </c>
      <c r="BM450">
        <v>0</v>
      </c>
      <c r="BN450">
        <v>0</v>
      </c>
      <c r="BO450">
        <v>0</v>
      </c>
      <c r="BP450">
        <v>0</v>
      </c>
      <c r="BQ450">
        <v>0</v>
      </c>
      <c r="BR450">
        <v>0</v>
      </c>
      <c r="BS450">
        <v>0</v>
      </c>
      <c r="BT450">
        <v>0</v>
      </c>
      <c r="BU450">
        <v>0</v>
      </c>
      <c r="BV450">
        <v>0</v>
      </c>
      <c r="BW450">
        <v>0</v>
      </c>
      <c r="BX450">
        <v>0</v>
      </c>
      <c r="BY450">
        <v>0</v>
      </c>
      <c r="BZ450">
        <v>0</v>
      </c>
      <c r="CA450">
        <v>0</v>
      </c>
      <c r="CB450">
        <v>0</v>
      </c>
      <c r="CC450">
        <v>0</v>
      </c>
      <c r="CD450">
        <v>0</v>
      </c>
      <c r="CE450">
        <v>0</v>
      </c>
      <c r="CF450">
        <v>0</v>
      </c>
      <c r="CG450">
        <v>0</v>
      </c>
      <c r="CH450">
        <v>0</v>
      </c>
      <c r="CI450">
        <v>0</v>
      </c>
      <c r="CJ450">
        <v>0</v>
      </c>
      <c r="CK450">
        <v>0</v>
      </c>
      <c r="CL450">
        <v>0</v>
      </c>
      <c r="CM450">
        <v>0</v>
      </c>
      <c r="CN450">
        <v>0</v>
      </c>
      <c r="CO450">
        <v>0</v>
      </c>
      <c r="CP450">
        <v>0</v>
      </c>
      <c r="CQ450">
        <v>0</v>
      </c>
      <c r="CR450">
        <v>0</v>
      </c>
      <c r="CS450">
        <v>0</v>
      </c>
      <c r="CT450">
        <v>0</v>
      </c>
      <c r="DE450" t="s">
        <v>0</v>
      </c>
    </row>
    <row r="451" spans="1:109" hidden="1" x14ac:dyDescent="0.35">
      <c r="A451">
        <v>197721</v>
      </c>
      <c r="B451">
        <v>197721</v>
      </c>
      <c r="D451" t="s">
        <v>121</v>
      </c>
      <c r="E451" t="s">
        <v>99</v>
      </c>
      <c r="F451" t="s">
        <v>98</v>
      </c>
      <c r="G451" t="s">
        <v>97</v>
      </c>
      <c r="H451" t="s">
        <v>194</v>
      </c>
      <c r="J451">
        <v>356519898</v>
      </c>
      <c r="K451" t="s">
        <v>193</v>
      </c>
      <c r="L451" t="s">
        <v>197</v>
      </c>
      <c r="M451" t="s">
        <v>13</v>
      </c>
      <c r="P451" t="s">
        <v>5</v>
      </c>
      <c r="Q451" t="s">
        <v>4</v>
      </c>
      <c r="R451" t="s">
        <v>12</v>
      </c>
      <c r="S451" t="s">
        <v>2</v>
      </c>
      <c r="AI451" t="s">
        <v>206</v>
      </c>
      <c r="AK451" t="s">
        <v>205</v>
      </c>
      <c r="AL451">
        <v>4606518</v>
      </c>
      <c r="AM451" t="s">
        <v>114</v>
      </c>
      <c r="AN451" t="s">
        <v>202</v>
      </c>
      <c r="AO451" t="s">
        <v>194</v>
      </c>
      <c r="AP451" t="s">
        <v>193</v>
      </c>
      <c r="AQ451" t="s">
        <v>204</v>
      </c>
      <c r="AR451" s="1">
        <v>44118</v>
      </c>
      <c r="AX451">
        <v>11</v>
      </c>
      <c r="AY451">
        <v>642607</v>
      </c>
      <c r="AZ451">
        <v>5493561</v>
      </c>
      <c r="BA451">
        <v>4332</v>
      </c>
      <c r="BB451" t="s">
        <v>200</v>
      </c>
      <c r="BC451" t="s">
        <v>203</v>
      </c>
      <c r="BD451" t="s">
        <v>94</v>
      </c>
      <c r="BE451" t="s">
        <v>199</v>
      </c>
      <c r="BF451" t="s">
        <v>189</v>
      </c>
      <c r="BG451">
        <v>4</v>
      </c>
      <c r="BM451">
        <v>0</v>
      </c>
      <c r="BN451">
        <v>0</v>
      </c>
      <c r="BO451">
        <v>0</v>
      </c>
      <c r="BP451">
        <v>0</v>
      </c>
      <c r="BQ451">
        <v>0</v>
      </c>
      <c r="BR451">
        <v>0</v>
      </c>
      <c r="BS451">
        <v>0</v>
      </c>
      <c r="BT451">
        <v>0</v>
      </c>
      <c r="BU451">
        <v>0</v>
      </c>
      <c r="BV451">
        <v>0</v>
      </c>
      <c r="BW451">
        <v>0</v>
      </c>
      <c r="BX451">
        <v>0</v>
      </c>
      <c r="BY451">
        <v>0</v>
      </c>
      <c r="BZ451">
        <v>0</v>
      </c>
      <c r="CA451">
        <v>0</v>
      </c>
      <c r="CB451">
        <v>0</v>
      </c>
      <c r="CC451">
        <v>0</v>
      </c>
      <c r="CD451">
        <v>0</v>
      </c>
      <c r="CE451">
        <v>0</v>
      </c>
      <c r="CF451">
        <v>0</v>
      </c>
      <c r="CG451">
        <v>0</v>
      </c>
      <c r="CH451">
        <v>0</v>
      </c>
      <c r="CI451">
        <v>0</v>
      </c>
      <c r="CJ451">
        <v>0</v>
      </c>
      <c r="CK451">
        <v>3.91110259341345</v>
      </c>
      <c r="CL451">
        <v>4.3630010530217103</v>
      </c>
      <c r="CM451">
        <v>3.91</v>
      </c>
      <c r="CN451">
        <v>4.3600000000000003</v>
      </c>
      <c r="CO451">
        <v>3.91</v>
      </c>
      <c r="CP451">
        <v>3.91</v>
      </c>
      <c r="CQ451">
        <v>4.3600000000000003</v>
      </c>
      <c r="CR451">
        <v>4.3600000000000003</v>
      </c>
      <c r="CS451">
        <v>4.3600000000000003</v>
      </c>
      <c r="CT451">
        <v>4.3600000000000003</v>
      </c>
      <c r="DE451" t="s">
        <v>0</v>
      </c>
    </row>
    <row r="452" spans="1:109" hidden="1" x14ac:dyDescent="0.35">
      <c r="A452">
        <v>197722</v>
      </c>
      <c r="D452" t="s">
        <v>121</v>
      </c>
      <c r="E452" t="s">
        <v>99</v>
      </c>
      <c r="F452" t="s">
        <v>98</v>
      </c>
      <c r="G452" t="s">
        <v>97</v>
      </c>
      <c r="J452">
        <v>356519898</v>
      </c>
      <c r="AL452">
        <v>24734192</v>
      </c>
      <c r="AM452" t="s">
        <v>114</v>
      </c>
      <c r="AN452" t="s">
        <v>202</v>
      </c>
      <c r="AO452" t="s">
        <v>194</v>
      </c>
      <c r="AP452" t="s">
        <v>193</v>
      </c>
      <c r="AQ452" t="s">
        <v>201</v>
      </c>
      <c r="AR452" s="1">
        <v>44118</v>
      </c>
      <c r="AX452">
        <v>11</v>
      </c>
      <c r="AY452">
        <v>643134</v>
      </c>
      <c r="AZ452">
        <v>5492768</v>
      </c>
      <c r="BA452">
        <v>3334</v>
      </c>
      <c r="BB452" t="s">
        <v>200</v>
      </c>
      <c r="BC452" t="s">
        <v>191</v>
      </c>
      <c r="BD452" t="s">
        <v>94</v>
      </c>
      <c r="BE452" t="s">
        <v>199</v>
      </c>
      <c r="BF452" t="s">
        <v>189</v>
      </c>
      <c r="BG452">
        <v>4</v>
      </c>
      <c r="BM452">
        <v>0</v>
      </c>
      <c r="BN452">
        <v>0</v>
      </c>
      <c r="BO452">
        <v>0</v>
      </c>
      <c r="BP452">
        <v>0</v>
      </c>
      <c r="BQ452">
        <v>0</v>
      </c>
      <c r="BR452">
        <v>0</v>
      </c>
      <c r="BS452">
        <v>0</v>
      </c>
      <c r="BT452">
        <v>0</v>
      </c>
      <c r="BU452">
        <v>0</v>
      </c>
      <c r="BV452">
        <v>0</v>
      </c>
      <c r="BW452">
        <v>0</v>
      </c>
      <c r="BX452">
        <v>0</v>
      </c>
      <c r="BY452">
        <v>0</v>
      </c>
      <c r="BZ452">
        <v>0</v>
      </c>
      <c r="CA452">
        <v>0</v>
      </c>
      <c r="CB452">
        <v>0</v>
      </c>
      <c r="CC452">
        <v>0</v>
      </c>
      <c r="CD452">
        <v>0</v>
      </c>
      <c r="CE452">
        <v>0</v>
      </c>
      <c r="CF452">
        <v>0</v>
      </c>
      <c r="CG452">
        <v>0</v>
      </c>
      <c r="CH452">
        <v>0</v>
      </c>
      <c r="CI452">
        <v>0</v>
      </c>
      <c r="CJ452">
        <v>0</v>
      </c>
      <c r="CK452">
        <v>4.8440681806263699</v>
      </c>
      <c r="CL452">
        <v>5.3610006928904497</v>
      </c>
      <c r="CM452">
        <v>4.84</v>
      </c>
      <c r="CN452">
        <v>5.36</v>
      </c>
      <c r="CO452">
        <v>4.84</v>
      </c>
      <c r="CP452">
        <v>4.84</v>
      </c>
      <c r="CQ452">
        <v>5.36</v>
      </c>
      <c r="CR452">
        <v>5.36</v>
      </c>
      <c r="CS452">
        <v>5.36</v>
      </c>
      <c r="CT452">
        <v>5.36</v>
      </c>
      <c r="DE452" t="s">
        <v>0</v>
      </c>
    </row>
    <row r="453" spans="1:109" hidden="1" x14ac:dyDescent="0.35">
      <c r="A453">
        <v>197723</v>
      </c>
      <c r="B453">
        <v>197723</v>
      </c>
      <c r="D453" t="s">
        <v>121</v>
      </c>
      <c r="E453" t="s">
        <v>99</v>
      </c>
      <c r="F453" t="s">
        <v>104</v>
      </c>
      <c r="G453" t="s">
        <v>119</v>
      </c>
      <c r="H453" t="s">
        <v>198</v>
      </c>
      <c r="J453">
        <v>356562578</v>
      </c>
      <c r="K453" t="s">
        <v>193</v>
      </c>
      <c r="L453" t="s">
        <v>197</v>
      </c>
      <c r="M453" t="s">
        <v>39</v>
      </c>
      <c r="P453" t="s">
        <v>5</v>
      </c>
      <c r="Q453" t="s">
        <v>4</v>
      </c>
      <c r="R453" t="s">
        <v>52</v>
      </c>
      <c r="S453" t="s">
        <v>2</v>
      </c>
      <c r="V453" t="s">
        <v>51</v>
      </c>
      <c r="AJ453" t="s">
        <v>196</v>
      </c>
      <c r="AK453" t="s">
        <v>195</v>
      </c>
      <c r="AL453">
        <v>4606514</v>
      </c>
      <c r="AM453" t="s">
        <v>114</v>
      </c>
      <c r="AN453" t="s">
        <v>113</v>
      </c>
      <c r="AO453" t="s">
        <v>194</v>
      </c>
      <c r="AP453" t="s">
        <v>193</v>
      </c>
      <c r="AQ453" t="s">
        <v>192</v>
      </c>
      <c r="AR453" s="1">
        <v>44118</v>
      </c>
      <c r="AX453">
        <v>11</v>
      </c>
      <c r="AY453">
        <v>643189</v>
      </c>
      <c r="AZ453">
        <v>5492542</v>
      </c>
      <c r="BA453">
        <v>153</v>
      </c>
      <c r="BB453" t="s">
        <v>191</v>
      </c>
      <c r="BC453" t="s">
        <v>191</v>
      </c>
      <c r="BD453" t="s">
        <v>94</v>
      </c>
      <c r="BE453" t="s">
        <v>190</v>
      </c>
      <c r="BF453" t="s">
        <v>189</v>
      </c>
      <c r="BG453">
        <v>4</v>
      </c>
      <c r="BM453">
        <v>0</v>
      </c>
      <c r="BN453">
        <v>0</v>
      </c>
      <c r="BO453">
        <v>0</v>
      </c>
      <c r="BP453">
        <v>0</v>
      </c>
      <c r="BQ453">
        <v>0</v>
      </c>
      <c r="BR453">
        <v>0</v>
      </c>
      <c r="BS453">
        <v>0</v>
      </c>
      <c r="BT453">
        <v>0</v>
      </c>
      <c r="BU453">
        <v>0</v>
      </c>
      <c r="BV453">
        <v>0</v>
      </c>
      <c r="BW453">
        <v>0</v>
      </c>
      <c r="BX453">
        <v>0</v>
      </c>
      <c r="BY453">
        <v>0</v>
      </c>
      <c r="BZ453">
        <v>0</v>
      </c>
      <c r="CA453">
        <v>0</v>
      </c>
      <c r="CB453">
        <v>0</v>
      </c>
      <c r="CC453">
        <v>0</v>
      </c>
      <c r="CD453">
        <v>0</v>
      </c>
      <c r="CE453">
        <v>0</v>
      </c>
      <c r="CF453">
        <v>0</v>
      </c>
      <c r="CG453">
        <v>0</v>
      </c>
      <c r="CH453">
        <v>0</v>
      </c>
      <c r="CI453">
        <v>0</v>
      </c>
      <c r="CJ453">
        <v>0</v>
      </c>
      <c r="CK453">
        <v>0</v>
      </c>
      <c r="CL453">
        <v>0</v>
      </c>
      <c r="CM453">
        <v>0</v>
      </c>
      <c r="CN453">
        <v>0</v>
      </c>
      <c r="CO453">
        <v>0</v>
      </c>
      <c r="CP453">
        <v>0</v>
      </c>
      <c r="CQ453">
        <v>0</v>
      </c>
      <c r="CR453">
        <v>0</v>
      </c>
      <c r="CS453">
        <v>0</v>
      </c>
      <c r="CT453">
        <v>0</v>
      </c>
      <c r="DE453" t="s">
        <v>0</v>
      </c>
    </row>
    <row r="454" spans="1:109" s="2" customFormat="1" hidden="1" x14ac:dyDescent="0.35">
      <c r="A454" s="2">
        <v>1004605053</v>
      </c>
      <c r="D454" s="2" t="s">
        <v>100</v>
      </c>
      <c r="E454" s="2" t="s">
        <v>99</v>
      </c>
      <c r="F454" s="2" t="s">
        <v>104</v>
      </c>
      <c r="G454" s="2" t="s">
        <v>103</v>
      </c>
      <c r="J454" s="2">
        <v>356563871</v>
      </c>
      <c r="AL454" s="2">
        <v>4605053</v>
      </c>
      <c r="AX454" s="2">
        <v>11</v>
      </c>
      <c r="AY454" s="2">
        <v>660628</v>
      </c>
      <c r="AZ454" s="2">
        <v>5534223</v>
      </c>
      <c r="BA454" s="2">
        <v>11454.747872477499</v>
      </c>
      <c r="BB454" s="2" t="s">
        <v>96</v>
      </c>
      <c r="BC454" s="2" t="s">
        <v>141</v>
      </c>
      <c r="BD454" s="2" t="s">
        <v>94</v>
      </c>
      <c r="BE454" s="2" t="s">
        <v>93</v>
      </c>
      <c r="BF454" s="2" t="s">
        <v>188</v>
      </c>
      <c r="BG454" s="2">
        <v>4</v>
      </c>
      <c r="BH454" s="2" t="s">
        <v>187</v>
      </c>
      <c r="BI454" s="2">
        <v>11</v>
      </c>
      <c r="BM454" s="2">
        <v>0</v>
      </c>
      <c r="BN454" s="2">
        <v>0</v>
      </c>
      <c r="BO454" s="2">
        <v>0</v>
      </c>
      <c r="BP454" s="2">
        <v>0</v>
      </c>
      <c r="BQ454" s="2">
        <v>0</v>
      </c>
      <c r="BR454" s="2">
        <v>0</v>
      </c>
      <c r="BS454" s="2">
        <v>0</v>
      </c>
      <c r="BT454" s="2">
        <v>0</v>
      </c>
      <c r="BU454" s="2">
        <v>0</v>
      </c>
      <c r="BV454" s="2">
        <v>0</v>
      </c>
      <c r="BW454" s="2">
        <v>0</v>
      </c>
      <c r="BX454" s="2">
        <v>0</v>
      </c>
      <c r="BY454" s="2">
        <v>0</v>
      </c>
      <c r="BZ454" s="2">
        <v>0</v>
      </c>
      <c r="CA454" s="2">
        <v>0</v>
      </c>
      <c r="CB454" s="2">
        <v>0</v>
      </c>
      <c r="CC454" s="2">
        <v>0</v>
      </c>
      <c r="CD454" s="2">
        <v>0</v>
      </c>
      <c r="CE454" s="2">
        <v>0</v>
      </c>
      <c r="CF454" s="2">
        <v>0</v>
      </c>
      <c r="CG454" s="2">
        <v>0</v>
      </c>
      <c r="CH454" s="2">
        <v>0</v>
      </c>
      <c r="CI454" s="2">
        <v>0</v>
      </c>
      <c r="CJ454" s="2">
        <v>0</v>
      </c>
      <c r="CK454" s="2">
        <v>4.9549322550097497</v>
      </c>
      <c r="CL454" s="2">
        <v>7.2346201538873398</v>
      </c>
      <c r="CM454" s="2">
        <v>0</v>
      </c>
      <c r="CN454" s="2">
        <v>0</v>
      </c>
      <c r="CO454" s="2">
        <v>4.95</v>
      </c>
      <c r="CP454" s="2">
        <v>0</v>
      </c>
      <c r="CQ454" s="2">
        <v>7.23</v>
      </c>
      <c r="CR454" s="2">
        <v>0</v>
      </c>
      <c r="CS454" s="2">
        <v>7.23</v>
      </c>
      <c r="CT454" s="2">
        <v>0</v>
      </c>
      <c r="DE454" s="2" t="s">
        <v>0</v>
      </c>
    </row>
    <row r="455" spans="1:109" hidden="1" x14ac:dyDescent="0.35">
      <c r="A455">
        <v>197546</v>
      </c>
      <c r="B455">
        <v>197546</v>
      </c>
      <c r="D455" t="s">
        <v>121</v>
      </c>
      <c r="E455" t="s">
        <v>120</v>
      </c>
      <c r="F455" t="s">
        <v>104</v>
      </c>
      <c r="G455" t="s">
        <v>119</v>
      </c>
      <c r="H455" t="s">
        <v>186</v>
      </c>
      <c r="J455">
        <v>356546175</v>
      </c>
      <c r="K455" t="s">
        <v>19</v>
      </c>
      <c r="L455" t="s">
        <v>182</v>
      </c>
      <c r="M455" t="s">
        <v>39</v>
      </c>
      <c r="P455" t="s">
        <v>5</v>
      </c>
      <c r="Q455" t="s">
        <v>4</v>
      </c>
      <c r="R455" t="s">
        <v>52</v>
      </c>
      <c r="S455" t="s">
        <v>2</v>
      </c>
      <c r="V455" t="s">
        <v>51</v>
      </c>
      <c r="AI455" t="s">
        <v>185</v>
      </c>
      <c r="AJ455" t="s">
        <v>184</v>
      </c>
      <c r="AK455" t="s">
        <v>183</v>
      </c>
      <c r="AL455">
        <v>4600162</v>
      </c>
      <c r="AM455" t="s">
        <v>114</v>
      </c>
      <c r="AN455" t="s">
        <v>113</v>
      </c>
      <c r="AO455" t="s">
        <v>182</v>
      </c>
      <c r="AP455" t="s">
        <v>19</v>
      </c>
      <c r="AQ455" t="s">
        <v>181</v>
      </c>
      <c r="AR455" s="1">
        <v>44097</v>
      </c>
      <c r="AX455">
        <v>11</v>
      </c>
      <c r="AY455">
        <v>640298</v>
      </c>
      <c r="AZ455">
        <v>5481685</v>
      </c>
      <c r="BA455">
        <v>1575</v>
      </c>
      <c r="BB455" t="s">
        <v>156</v>
      </c>
      <c r="BC455" t="s">
        <v>156</v>
      </c>
      <c r="BD455" t="s">
        <v>94</v>
      </c>
      <c r="BF455" t="s">
        <v>169</v>
      </c>
      <c r="BG455">
        <v>5</v>
      </c>
      <c r="BM455">
        <v>0</v>
      </c>
      <c r="BN455">
        <v>0</v>
      </c>
      <c r="BO455">
        <v>0</v>
      </c>
      <c r="BP455">
        <v>0</v>
      </c>
      <c r="BQ455">
        <v>0</v>
      </c>
      <c r="BR455">
        <v>0</v>
      </c>
      <c r="BS455">
        <v>0</v>
      </c>
      <c r="BT455">
        <v>0</v>
      </c>
      <c r="BU455">
        <v>0</v>
      </c>
      <c r="BV455">
        <v>0</v>
      </c>
      <c r="BW455">
        <v>0</v>
      </c>
      <c r="BX455">
        <v>0</v>
      </c>
      <c r="BY455">
        <v>0</v>
      </c>
      <c r="BZ455">
        <v>0</v>
      </c>
      <c r="CA455">
        <v>0</v>
      </c>
      <c r="CB455">
        <v>0</v>
      </c>
      <c r="CC455">
        <v>0</v>
      </c>
      <c r="CD455">
        <v>0</v>
      </c>
      <c r="CE455">
        <v>0</v>
      </c>
      <c r="CF455">
        <v>0</v>
      </c>
      <c r="CG455">
        <v>0</v>
      </c>
      <c r="CH455">
        <v>0</v>
      </c>
      <c r="CI455">
        <v>0</v>
      </c>
      <c r="CJ455">
        <v>0</v>
      </c>
      <c r="CK455">
        <v>0</v>
      </c>
      <c r="CL455">
        <v>0</v>
      </c>
      <c r="CM455">
        <v>0</v>
      </c>
      <c r="CN455">
        <v>0</v>
      </c>
      <c r="CO455">
        <v>0</v>
      </c>
      <c r="CP455">
        <v>0</v>
      </c>
      <c r="CQ455">
        <v>0</v>
      </c>
      <c r="CR455">
        <v>0</v>
      </c>
      <c r="CS455">
        <v>0</v>
      </c>
      <c r="CT455">
        <v>0</v>
      </c>
      <c r="DE455" t="s">
        <v>0</v>
      </c>
    </row>
    <row r="456" spans="1:109" hidden="1" x14ac:dyDescent="0.35">
      <c r="A456">
        <v>197547</v>
      </c>
      <c r="B456">
        <v>197547</v>
      </c>
      <c r="D456" t="s">
        <v>121</v>
      </c>
      <c r="E456" t="s">
        <v>180</v>
      </c>
      <c r="F456" t="s">
        <v>104</v>
      </c>
      <c r="G456" t="s">
        <v>97</v>
      </c>
      <c r="I456" t="s">
        <v>7</v>
      </c>
      <c r="J456">
        <v>356546175</v>
      </c>
      <c r="K456" t="s">
        <v>19</v>
      </c>
      <c r="L456" t="s">
        <v>176</v>
      </c>
      <c r="P456" t="s">
        <v>5</v>
      </c>
      <c r="Q456" t="s">
        <v>4</v>
      </c>
      <c r="R456" t="s">
        <v>52</v>
      </c>
      <c r="S456" t="s">
        <v>2</v>
      </c>
      <c r="V456" t="s">
        <v>51</v>
      </c>
      <c r="AI456" t="s">
        <v>179</v>
      </c>
      <c r="AJ456" t="s">
        <v>178</v>
      </c>
      <c r="AK456" t="s">
        <v>177</v>
      </c>
      <c r="AL456">
        <v>4606805</v>
      </c>
      <c r="AM456" t="s">
        <v>114</v>
      </c>
      <c r="AN456" t="s">
        <v>113</v>
      </c>
      <c r="AO456" t="s">
        <v>176</v>
      </c>
      <c r="AP456" t="s">
        <v>19</v>
      </c>
      <c r="AQ456" t="s">
        <v>175</v>
      </c>
      <c r="AR456" s="1">
        <v>44097</v>
      </c>
      <c r="AX456">
        <v>11</v>
      </c>
      <c r="AY456">
        <v>640274</v>
      </c>
      <c r="AZ456">
        <v>5481670</v>
      </c>
      <c r="BA456">
        <v>1547</v>
      </c>
      <c r="BB456" t="s">
        <v>156</v>
      </c>
      <c r="BC456" t="s">
        <v>156</v>
      </c>
      <c r="BD456" t="s">
        <v>94</v>
      </c>
      <c r="BF456" t="s">
        <v>169</v>
      </c>
      <c r="BG456">
        <v>5</v>
      </c>
      <c r="BM456">
        <v>0</v>
      </c>
      <c r="BN456">
        <v>0</v>
      </c>
      <c r="BO456">
        <v>0</v>
      </c>
      <c r="BP456">
        <v>0</v>
      </c>
      <c r="BQ456">
        <v>0</v>
      </c>
      <c r="BR456">
        <v>0</v>
      </c>
      <c r="BS456">
        <v>0</v>
      </c>
      <c r="BT456">
        <v>0</v>
      </c>
      <c r="BU456">
        <v>0</v>
      </c>
      <c r="BV456">
        <v>0</v>
      </c>
      <c r="BW456">
        <v>0</v>
      </c>
      <c r="BX456">
        <v>0</v>
      </c>
      <c r="BY456">
        <v>0</v>
      </c>
      <c r="BZ456">
        <v>0</v>
      </c>
      <c r="CA456">
        <v>0</v>
      </c>
      <c r="CB456">
        <v>0</v>
      </c>
      <c r="CC456">
        <v>0</v>
      </c>
      <c r="CD456">
        <v>0</v>
      </c>
      <c r="CE456">
        <v>0</v>
      </c>
      <c r="CF456">
        <v>0</v>
      </c>
      <c r="CG456">
        <v>0</v>
      </c>
      <c r="CH456">
        <v>0</v>
      </c>
      <c r="CI456">
        <v>0</v>
      </c>
      <c r="CJ456">
        <v>0</v>
      </c>
      <c r="CK456">
        <v>0</v>
      </c>
      <c r="CL456">
        <v>0</v>
      </c>
      <c r="CM456">
        <v>0</v>
      </c>
      <c r="CN456">
        <v>0</v>
      </c>
      <c r="CO456">
        <v>0</v>
      </c>
      <c r="CP456">
        <v>0</v>
      </c>
      <c r="CQ456">
        <v>0</v>
      </c>
      <c r="CR456">
        <v>0</v>
      </c>
      <c r="CS456">
        <v>0</v>
      </c>
      <c r="CT456">
        <v>0</v>
      </c>
      <c r="DE456" t="s">
        <v>0</v>
      </c>
    </row>
    <row r="457" spans="1:109" hidden="1" x14ac:dyDescent="0.35">
      <c r="A457">
        <v>197548</v>
      </c>
      <c r="B457">
        <v>197548</v>
      </c>
      <c r="D457" t="s">
        <v>121</v>
      </c>
      <c r="E457" t="s">
        <v>120</v>
      </c>
      <c r="F457" t="s">
        <v>104</v>
      </c>
      <c r="G457" t="s">
        <v>97</v>
      </c>
      <c r="H457" t="s">
        <v>174</v>
      </c>
      <c r="J457">
        <v>356546175</v>
      </c>
      <c r="K457" t="s">
        <v>19</v>
      </c>
      <c r="L457" t="s">
        <v>171</v>
      </c>
      <c r="M457" t="s">
        <v>39</v>
      </c>
      <c r="P457" t="s">
        <v>5</v>
      </c>
      <c r="Q457" t="s">
        <v>4</v>
      </c>
      <c r="R457" t="s">
        <v>52</v>
      </c>
      <c r="S457" t="s">
        <v>2</v>
      </c>
      <c r="V457" t="s">
        <v>51</v>
      </c>
      <c r="AI457" t="s">
        <v>173</v>
      </c>
      <c r="AK457" t="s">
        <v>172</v>
      </c>
      <c r="AL457">
        <v>4600008</v>
      </c>
      <c r="AM457" t="s">
        <v>114</v>
      </c>
      <c r="AN457" t="s">
        <v>113</v>
      </c>
      <c r="AO457" t="s">
        <v>171</v>
      </c>
      <c r="AP457" t="s">
        <v>19</v>
      </c>
      <c r="AQ457" t="s">
        <v>170</v>
      </c>
      <c r="AR457" s="1">
        <v>44097</v>
      </c>
      <c r="AX457">
        <v>11</v>
      </c>
      <c r="AY457">
        <v>640248</v>
      </c>
      <c r="AZ457">
        <v>5481361</v>
      </c>
      <c r="BA457">
        <v>1093</v>
      </c>
      <c r="BB457" t="s">
        <v>156</v>
      </c>
      <c r="BC457" t="s">
        <v>156</v>
      </c>
      <c r="BD457" t="s">
        <v>94</v>
      </c>
      <c r="BF457" t="s">
        <v>169</v>
      </c>
      <c r="BG457">
        <v>5</v>
      </c>
      <c r="BM457">
        <v>0</v>
      </c>
      <c r="BN457">
        <v>0</v>
      </c>
      <c r="BO457">
        <v>0</v>
      </c>
      <c r="BP457">
        <v>0</v>
      </c>
      <c r="BQ457">
        <v>0</v>
      </c>
      <c r="BR457">
        <v>0</v>
      </c>
      <c r="BS457">
        <v>0</v>
      </c>
      <c r="BT457">
        <v>0</v>
      </c>
      <c r="BU457">
        <v>0</v>
      </c>
      <c r="BV457">
        <v>0</v>
      </c>
      <c r="BW457">
        <v>0</v>
      </c>
      <c r="BX457">
        <v>0</v>
      </c>
      <c r="BY457">
        <v>0</v>
      </c>
      <c r="BZ457">
        <v>0</v>
      </c>
      <c r="CA457">
        <v>0</v>
      </c>
      <c r="CB457">
        <v>0</v>
      </c>
      <c r="CC457">
        <v>0</v>
      </c>
      <c r="CD457">
        <v>0</v>
      </c>
      <c r="CE457">
        <v>0</v>
      </c>
      <c r="CF457">
        <v>0</v>
      </c>
      <c r="CG457">
        <v>0</v>
      </c>
      <c r="CH457">
        <v>0</v>
      </c>
      <c r="CI457">
        <v>0</v>
      </c>
      <c r="CJ457">
        <v>0</v>
      </c>
      <c r="CK457">
        <v>0</v>
      </c>
      <c r="CL457">
        <v>0</v>
      </c>
      <c r="CM457">
        <v>0</v>
      </c>
      <c r="CN457">
        <v>0</v>
      </c>
      <c r="CO457">
        <v>0</v>
      </c>
      <c r="CP457">
        <v>0</v>
      </c>
      <c r="CQ457">
        <v>0</v>
      </c>
      <c r="CR457">
        <v>0</v>
      </c>
      <c r="CS457">
        <v>0</v>
      </c>
      <c r="CT457">
        <v>0</v>
      </c>
      <c r="DE457" t="s">
        <v>0</v>
      </c>
    </row>
    <row r="458" spans="1:109" hidden="1" x14ac:dyDescent="0.35">
      <c r="A458">
        <v>197557</v>
      </c>
      <c r="B458">
        <v>197557</v>
      </c>
      <c r="D458" t="s">
        <v>121</v>
      </c>
      <c r="E458" t="s">
        <v>120</v>
      </c>
      <c r="F458" t="s">
        <v>104</v>
      </c>
      <c r="G458" t="s">
        <v>119</v>
      </c>
      <c r="H458" t="s">
        <v>168</v>
      </c>
      <c r="J458">
        <v>356562897</v>
      </c>
      <c r="K458" t="s">
        <v>109</v>
      </c>
      <c r="L458" t="s">
        <v>165</v>
      </c>
      <c r="M458" t="s">
        <v>39</v>
      </c>
      <c r="P458" t="s">
        <v>5</v>
      </c>
      <c r="Q458" t="s">
        <v>4</v>
      </c>
      <c r="R458" t="s">
        <v>52</v>
      </c>
      <c r="S458" t="s">
        <v>2</v>
      </c>
      <c r="V458" t="s">
        <v>51</v>
      </c>
      <c r="AI458" t="s">
        <v>167</v>
      </c>
      <c r="AK458" t="s">
        <v>166</v>
      </c>
      <c r="AL458">
        <v>4600093</v>
      </c>
      <c r="AM458" t="s">
        <v>114</v>
      </c>
      <c r="AN458" t="s">
        <v>113</v>
      </c>
      <c r="AO458" t="s">
        <v>165</v>
      </c>
      <c r="AP458" t="s">
        <v>109</v>
      </c>
      <c r="AQ458" t="s">
        <v>164</v>
      </c>
      <c r="AR458" s="1">
        <v>44091</v>
      </c>
      <c r="AX458">
        <v>11</v>
      </c>
      <c r="AY458">
        <v>651701</v>
      </c>
      <c r="AZ458">
        <v>5521896</v>
      </c>
      <c r="BA458">
        <v>1046</v>
      </c>
      <c r="BB458" t="s">
        <v>110</v>
      </c>
      <c r="BC458" t="s">
        <v>110</v>
      </c>
      <c r="BD458" t="s">
        <v>94</v>
      </c>
      <c r="BE458" t="s">
        <v>109</v>
      </c>
      <c r="BF458" t="s">
        <v>163</v>
      </c>
      <c r="BG458">
        <v>5</v>
      </c>
      <c r="BM458">
        <v>0</v>
      </c>
      <c r="BN458">
        <v>0</v>
      </c>
      <c r="BO458">
        <v>0</v>
      </c>
      <c r="BP458">
        <v>0</v>
      </c>
      <c r="BQ458">
        <v>0</v>
      </c>
      <c r="BR458">
        <v>0</v>
      </c>
      <c r="BS458">
        <v>0</v>
      </c>
      <c r="BT458">
        <v>0</v>
      </c>
      <c r="BU458">
        <v>0</v>
      </c>
      <c r="BV458">
        <v>0</v>
      </c>
      <c r="BW458">
        <v>0</v>
      </c>
      <c r="BX458">
        <v>0</v>
      </c>
      <c r="BY458">
        <v>0</v>
      </c>
      <c r="BZ458">
        <v>0</v>
      </c>
      <c r="CA458">
        <v>0</v>
      </c>
      <c r="CB458">
        <v>0</v>
      </c>
      <c r="CC458">
        <v>0</v>
      </c>
      <c r="CD458">
        <v>0</v>
      </c>
      <c r="CE458">
        <v>0</v>
      </c>
      <c r="CF458">
        <v>0</v>
      </c>
      <c r="CG458">
        <v>0</v>
      </c>
      <c r="CH458">
        <v>0</v>
      </c>
      <c r="CI458">
        <v>0</v>
      </c>
      <c r="CJ458">
        <v>0</v>
      </c>
      <c r="CK458">
        <v>0</v>
      </c>
      <c r="CL458">
        <v>0</v>
      </c>
      <c r="CM458">
        <v>0</v>
      </c>
      <c r="CN458">
        <v>0</v>
      </c>
      <c r="CO458">
        <v>0</v>
      </c>
      <c r="CP458">
        <v>0</v>
      </c>
      <c r="CQ458">
        <v>0</v>
      </c>
      <c r="CR458">
        <v>0</v>
      </c>
      <c r="CS458">
        <v>0</v>
      </c>
      <c r="CT458">
        <v>0</v>
      </c>
      <c r="DE458" t="s">
        <v>0</v>
      </c>
    </row>
    <row r="459" spans="1:109" hidden="1" x14ac:dyDescent="0.35">
      <c r="A459">
        <v>197569</v>
      </c>
      <c r="B459">
        <v>197569</v>
      </c>
      <c r="D459" t="s">
        <v>121</v>
      </c>
      <c r="E459" t="s">
        <v>120</v>
      </c>
      <c r="F459" t="s">
        <v>104</v>
      </c>
      <c r="G459" t="s">
        <v>119</v>
      </c>
      <c r="H459" t="s">
        <v>162</v>
      </c>
      <c r="J459">
        <v>356535716</v>
      </c>
      <c r="K459" t="s">
        <v>19</v>
      </c>
      <c r="L459" t="s">
        <v>159</v>
      </c>
      <c r="M459" t="s">
        <v>39</v>
      </c>
      <c r="P459" t="s">
        <v>5</v>
      </c>
      <c r="Q459" t="s">
        <v>4</v>
      </c>
      <c r="R459" t="s">
        <v>52</v>
      </c>
      <c r="S459" t="s">
        <v>2</v>
      </c>
      <c r="V459" t="s">
        <v>51</v>
      </c>
      <c r="AI459" t="s">
        <v>161</v>
      </c>
      <c r="AK459" t="s">
        <v>160</v>
      </c>
      <c r="AL459">
        <v>4600080</v>
      </c>
      <c r="AM459" t="s">
        <v>114</v>
      </c>
      <c r="AN459" t="s">
        <v>113</v>
      </c>
      <c r="AO459" t="s">
        <v>159</v>
      </c>
      <c r="AP459" t="s">
        <v>19</v>
      </c>
      <c r="AQ459" t="s">
        <v>158</v>
      </c>
      <c r="AR459" s="1">
        <v>44097</v>
      </c>
      <c r="AX459">
        <v>11</v>
      </c>
      <c r="AY459">
        <v>640572</v>
      </c>
      <c r="AZ459">
        <v>5481515</v>
      </c>
      <c r="BA459">
        <v>1343</v>
      </c>
      <c r="BB459" t="s">
        <v>157</v>
      </c>
      <c r="BC459" t="s">
        <v>156</v>
      </c>
      <c r="BD459" t="s">
        <v>94</v>
      </c>
      <c r="BF459" t="s">
        <v>155</v>
      </c>
      <c r="BG459">
        <v>5</v>
      </c>
      <c r="BM459">
        <v>0</v>
      </c>
      <c r="BN459">
        <v>0</v>
      </c>
      <c r="BO459">
        <v>0</v>
      </c>
      <c r="BP459">
        <v>0</v>
      </c>
      <c r="BQ459">
        <v>0</v>
      </c>
      <c r="BR459">
        <v>0</v>
      </c>
      <c r="BS459">
        <v>0</v>
      </c>
      <c r="BT459">
        <v>0</v>
      </c>
      <c r="BU459">
        <v>0</v>
      </c>
      <c r="BV459">
        <v>0</v>
      </c>
      <c r="BW459">
        <v>0</v>
      </c>
      <c r="BX459">
        <v>0</v>
      </c>
      <c r="BY459">
        <v>0</v>
      </c>
      <c r="BZ459">
        <v>0</v>
      </c>
      <c r="CA459">
        <v>0</v>
      </c>
      <c r="CB459">
        <v>0</v>
      </c>
      <c r="CC459">
        <v>0</v>
      </c>
      <c r="CD459">
        <v>0</v>
      </c>
      <c r="CE459">
        <v>0</v>
      </c>
      <c r="CF459">
        <v>0</v>
      </c>
      <c r="CG459">
        <v>0</v>
      </c>
      <c r="CH459">
        <v>0</v>
      </c>
      <c r="CI459">
        <v>0</v>
      </c>
      <c r="CJ459">
        <v>0</v>
      </c>
      <c r="CK459">
        <v>0</v>
      </c>
      <c r="CL459">
        <v>0</v>
      </c>
      <c r="CM459">
        <v>0</v>
      </c>
      <c r="CN459">
        <v>0</v>
      </c>
      <c r="CO459">
        <v>0</v>
      </c>
      <c r="CP459">
        <v>0</v>
      </c>
      <c r="CQ459">
        <v>0</v>
      </c>
      <c r="CR459">
        <v>0</v>
      </c>
      <c r="CS459">
        <v>0</v>
      </c>
      <c r="CT459">
        <v>0</v>
      </c>
      <c r="DE459" t="s">
        <v>0</v>
      </c>
    </row>
    <row r="460" spans="1:109" hidden="1" x14ac:dyDescent="0.35">
      <c r="A460">
        <v>197577</v>
      </c>
      <c r="B460">
        <v>197577</v>
      </c>
      <c r="D460" t="s">
        <v>121</v>
      </c>
      <c r="E460" t="s">
        <v>99</v>
      </c>
      <c r="F460" t="s">
        <v>104</v>
      </c>
      <c r="G460" t="s">
        <v>119</v>
      </c>
      <c r="J460">
        <v>356541034</v>
      </c>
      <c r="K460" t="s">
        <v>19</v>
      </c>
      <c r="L460" t="s">
        <v>53</v>
      </c>
      <c r="M460" t="s">
        <v>39</v>
      </c>
      <c r="P460" t="s">
        <v>5</v>
      </c>
      <c r="Q460" t="s">
        <v>4</v>
      </c>
      <c r="R460" t="s">
        <v>52</v>
      </c>
      <c r="S460" t="s">
        <v>2</v>
      </c>
      <c r="V460" t="s">
        <v>51</v>
      </c>
      <c r="AI460" t="s">
        <v>50</v>
      </c>
      <c r="AK460" t="s">
        <v>154</v>
      </c>
      <c r="AL460">
        <v>4601639</v>
      </c>
      <c r="AM460" t="s">
        <v>114</v>
      </c>
      <c r="AN460" t="s">
        <v>113</v>
      </c>
      <c r="AO460" t="s">
        <v>53</v>
      </c>
      <c r="AP460" t="s">
        <v>19</v>
      </c>
      <c r="AQ460" t="s">
        <v>153</v>
      </c>
      <c r="AR460" s="1">
        <v>44098</v>
      </c>
      <c r="AX460">
        <v>11</v>
      </c>
      <c r="AY460">
        <v>638523</v>
      </c>
      <c r="AZ460">
        <v>5480614</v>
      </c>
      <c r="BA460">
        <v>1343</v>
      </c>
      <c r="BB460" t="s">
        <v>152</v>
      </c>
      <c r="BC460" t="s">
        <v>151</v>
      </c>
      <c r="BD460" t="s">
        <v>94</v>
      </c>
      <c r="BF460" t="s">
        <v>150</v>
      </c>
      <c r="BG460">
        <v>5</v>
      </c>
      <c r="BM460">
        <v>0</v>
      </c>
      <c r="BN460">
        <v>0</v>
      </c>
      <c r="BO460">
        <v>0</v>
      </c>
      <c r="BP460">
        <v>0</v>
      </c>
      <c r="BQ460">
        <v>0</v>
      </c>
      <c r="BR460">
        <v>0</v>
      </c>
      <c r="BS460">
        <v>0</v>
      </c>
      <c r="BT460">
        <v>0</v>
      </c>
      <c r="BU460">
        <v>0</v>
      </c>
      <c r="BV460">
        <v>0</v>
      </c>
      <c r="BW460">
        <v>0</v>
      </c>
      <c r="BX460">
        <v>0</v>
      </c>
      <c r="BY460">
        <v>0</v>
      </c>
      <c r="BZ460">
        <v>0</v>
      </c>
      <c r="CA460">
        <v>0</v>
      </c>
      <c r="CB460">
        <v>0</v>
      </c>
      <c r="CC460">
        <v>0</v>
      </c>
      <c r="CD460">
        <v>0</v>
      </c>
      <c r="CE460">
        <v>0</v>
      </c>
      <c r="CF460">
        <v>0</v>
      </c>
      <c r="CG460">
        <v>0</v>
      </c>
      <c r="CH460">
        <v>0</v>
      </c>
      <c r="CI460">
        <v>0</v>
      </c>
      <c r="CJ460">
        <v>0</v>
      </c>
      <c r="CK460">
        <v>0</v>
      </c>
      <c r="CL460">
        <v>0</v>
      </c>
      <c r="CM460">
        <v>0</v>
      </c>
      <c r="CN460">
        <v>0</v>
      </c>
      <c r="CO460">
        <v>0</v>
      </c>
      <c r="CP460">
        <v>0</v>
      </c>
      <c r="CQ460">
        <v>0</v>
      </c>
      <c r="CR460">
        <v>0</v>
      </c>
      <c r="CS460">
        <v>0</v>
      </c>
      <c r="CT460">
        <v>0</v>
      </c>
      <c r="DE460" t="s">
        <v>0</v>
      </c>
    </row>
    <row r="461" spans="1:109" hidden="1" x14ac:dyDescent="0.35">
      <c r="A461">
        <v>197866</v>
      </c>
      <c r="B461">
        <v>197866</v>
      </c>
      <c r="D461" t="s">
        <v>121</v>
      </c>
      <c r="E461" t="s">
        <v>99</v>
      </c>
      <c r="F461" t="s">
        <v>104</v>
      </c>
      <c r="G461" t="s">
        <v>119</v>
      </c>
      <c r="J461">
        <v>356569015</v>
      </c>
      <c r="K461" t="s">
        <v>143</v>
      </c>
      <c r="L461" t="s">
        <v>26</v>
      </c>
      <c r="M461" t="s">
        <v>39</v>
      </c>
      <c r="P461" t="s">
        <v>38</v>
      </c>
      <c r="Q461" t="s">
        <v>4</v>
      </c>
      <c r="V461" t="s">
        <v>149</v>
      </c>
      <c r="AE461" t="s">
        <v>35</v>
      </c>
      <c r="AI461" t="s">
        <v>148</v>
      </c>
      <c r="AK461" t="s">
        <v>147</v>
      </c>
      <c r="AL461">
        <v>4600992</v>
      </c>
      <c r="AM461" t="s">
        <v>114</v>
      </c>
      <c r="AN461" t="s">
        <v>113</v>
      </c>
      <c r="AO461" t="s">
        <v>26</v>
      </c>
      <c r="AP461" t="s">
        <v>143</v>
      </c>
      <c r="AQ461" t="s">
        <v>146</v>
      </c>
      <c r="AR461" s="1">
        <v>44484</v>
      </c>
      <c r="AX461">
        <v>11</v>
      </c>
      <c r="AY461">
        <v>647733</v>
      </c>
      <c r="AZ461">
        <v>5494405</v>
      </c>
      <c r="BA461">
        <v>1298</v>
      </c>
      <c r="BB461" t="s">
        <v>145</v>
      </c>
      <c r="BC461" t="s">
        <v>144</v>
      </c>
      <c r="BD461" t="s">
        <v>94</v>
      </c>
      <c r="BE461" t="s">
        <v>143</v>
      </c>
      <c r="BF461" t="s">
        <v>142</v>
      </c>
      <c r="BG461">
        <v>5</v>
      </c>
      <c r="BM461">
        <v>0</v>
      </c>
      <c r="BN461">
        <v>0</v>
      </c>
      <c r="BO461">
        <v>0</v>
      </c>
      <c r="BP461">
        <v>0</v>
      </c>
      <c r="BQ461">
        <v>0</v>
      </c>
      <c r="BR461">
        <v>0</v>
      </c>
      <c r="BS461">
        <v>0</v>
      </c>
      <c r="BT461">
        <v>0</v>
      </c>
      <c r="BU461">
        <v>0</v>
      </c>
      <c r="BV461">
        <v>0</v>
      </c>
      <c r="BW461">
        <v>0</v>
      </c>
      <c r="BX461">
        <v>0</v>
      </c>
      <c r="BY461">
        <v>0</v>
      </c>
      <c r="BZ461">
        <v>0</v>
      </c>
      <c r="CA461">
        <v>0</v>
      </c>
      <c r="CB461">
        <v>0</v>
      </c>
      <c r="CC461">
        <v>0</v>
      </c>
      <c r="CD461">
        <v>0</v>
      </c>
      <c r="CE461">
        <v>0</v>
      </c>
      <c r="CF461">
        <v>0</v>
      </c>
      <c r="CG461">
        <v>0</v>
      </c>
      <c r="CH461">
        <v>0</v>
      </c>
      <c r="CI461">
        <v>0</v>
      </c>
      <c r="CJ461">
        <v>0</v>
      </c>
      <c r="CK461">
        <v>0</v>
      </c>
      <c r="CL461">
        <v>0</v>
      </c>
      <c r="CM461">
        <v>0</v>
      </c>
      <c r="CN461">
        <v>0</v>
      </c>
      <c r="CO461">
        <v>0</v>
      </c>
      <c r="CP461">
        <v>0</v>
      </c>
      <c r="CQ461">
        <v>0</v>
      </c>
      <c r="CR461">
        <v>0</v>
      </c>
      <c r="CS461">
        <v>0</v>
      </c>
      <c r="CT461">
        <v>0</v>
      </c>
      <c r="DE461" t="s">
        <v>0</v>
      </c>
    </row>
    <row r="462" spans="1:109" s="2" customFormat="1" hidden="1" x14ac:dyDescent="0.35">
      <c r="A462" s="2">
        <v>1004604469</v>
      </c>
      <c r="D462" s="2" t="s">
        <v>100</v>
      </c>
      <c r="E462" s="2" t="s">
        <v>99</v>
      </c>
      <c r="F462" s="2" t="s">
        <v>104</v>
      </c>
      <c r="G462" s="2" t="s">
        <v>103</v>
      </c>
      <c r="J462" s="2">
        <v>356563871</v>
      </c>
      <c r="AL462" s="2">
        <v>4604469</v>
      </c>
      <c r="AX462" s="2">
        <v>11</v>
      </c>
      <c r="AY462" s="2">
        <v>660867</v>
      </c>
      <c r="AZ462" s="2">
        <v>5534822</v>
      </c>
      <c r="BA462" s="2">
        <v>12180.9131750791</v>
      </c>
      <c r="BB462" s="2" t="s">
        <v>96</v>
      </c>
      <c r="BC462" s="2" t="s">
        <v>141</v>
      </c>
      <c r="BD462" s="2" t="s">
        <v>94</v>
      </c>
      <c r="BE462" s="2" t="s">
        <v>93</v>
      </c>
      <c r="BF462" s="2" t="s">
        <v>140</v>
      </c>
      <c r="BG462" s="2">
        <v>5</v>
      </c>
      <c r="BH462" s="2" t="s">
        <v>139</v>
      </c>
      <c r="BI462" s="2">
        <v>10</v>
      </c>
      <c r="BM462" s="2">
        <v>0</v>
      </c>
      <c r="BN462" s="2">
        <v>0</v>
      </c>
      <c r="BO462" s="2">
        <v>0</v>
      </c>
      <c r="BP462" s="2">
        <v>0</v>
      </c>
      <c r="BQ462" s="2">
        <v>0</v>
      </c>
      <c r="BR462" s="2">
        <v>0</v>
      </c>
      <c r="BS462" s="2">
        <v>0</v>
      </c>
      <c r="BT462" s="2">
        <v>0</v>
      </c>
      <c r="BU462" s="2">
        <v>0</v>
      </c>
      <c r="BV462" s="2">
        <v>0</v>
      </c>
      <c r="BW462" s="2">
        <v>0</v>
      </c>
      <c r="BX462" s="2">
        <v>0</v>
      </c>
      <c r="BY462" s="2">
        <v>0</v>
      </c>
      <c r="BZ462" s="2">
        <v>0</v>
      </c>
      <c r="CA462" s="2">
        <v>0</v>
      </c>
      <c r="CB462" s="2">
        <v>0</v>
      </c>
      <c r="CC462" s="2">
        <v>0</v>
      </c>
      <c r="CD462" s="2">
        <v>0</v>
      </c>
      <c r="CE462" s="2">
        <v>0</v>
      </c>
      <c r="CF462" s="2">
        <v>0</v>
      </c>
      <c r="CG462" s="2">
        <v>0</v>
      </c>
      <c r="CH462" s="2">
        <v>0</v>
      </c>
      <c r="CI462" s="2">
        <v>0</v>
      </c>
      <c r="CJ462" s="2">
        <v>0</v>
      </c>
      <c r="CK462" s="2">
        <v>4.9549322550097497</v>
      </c>
      <c r="CL462" s="2">
        <v>7.2346201538873398</v>
      </c>
      <c r="CM462" s="2">
        <v>0</v>
      </c>
      <c r="CN462" s="2">
        <v>0</v>
      </c>
      <c r="CO462" s="2">
        <v>4.95</v>
      </c>
      <c r="CP462" s="2">
        <v>0</v>
      </c>
      <c r="CQ462" s="2">
        <v>7.23</v>
      </c>
      <c r="CR462" s="2">
        <v>0</v>
      </c>
      <c r="CS462" s="2">
        <v>7.23</v>
      </c>
      <c r="CT462" s="2">
        <v>0</v>
      </c>
      <c r="DE462" s="2" t="s">
        <v>0</v>
      </c>
    </row>
    <row r="463" spans="1:109" hidden="1" x14ac:dyDescent="0.35">
      <c r="A463">
        <v>197538</v>
      </c>
      <c r="B463">
        <v>197538</v>
      </c>
      <c r="D463" t="s">
        <v>121</v>
      </c>
      <c r="E463" t="s">
        <v>120</v>
      </c>
      <c r="F463" t="s">
        <v>104</v>
      </c>
      <c r="G463" t="s">
        <v>119</v>
      </c>
      <c r="H463" t="s">
        <v>118</v>
      </c>
      <c r="J463">
        <v>356548789</v>
      </c>
      <c r="K463" t="s">
        <v>138</v>
      </c>
      <c r="L463" t="s">
        <v>112</v>
      </c>
      <c r="M463" t="s">
        <v>39</v>
      </c>
      <c r="P463" t="s">
        <v>38</v>
      </c>
      <c r="Q463" t="s">
        <v>4</v>
      </c>
      <c r="V463" t="s">
        <v>36</v>
      </c>
      <c r="AE463" t="s">
        <v>35</v>
      </c>
      <c r="AI463" t="s">
        <v>137</v>
      </c>
      <c r="AK463" t="s">
        <v>136</v>
      </c>
      <c r="AL463">
        <v>4600185</v>
      </c>
      <c r="AM463" t="s">
        <v>114</v>
      </c>
      <c r="AN463" t="s">
        <v>113</v>
      </c>
      <c r="AO463" t="s">
        <v>112</v>
      </c>
      <c r="AP463" t="s">
        <v>133</v>
      </c>
      <c r="AQ463" t="s">
        <v>135</v>
      </c>
      <c r="AR463" s="1">
        <v>44092</v>
      </c>
      <c r="AX463">
        <v>11</v>
      </c>
      <c r="AY463">
        <v>651002</v>
      </c>
      <c r="AZ463">
        <v>5521022</v>
      </c>
      <c r="BA463">
        <v>1488</v>
      </c>
      <c r="BB463" t="s">
        <v>134</v>
      </c>
      <c r="BC463" t="s">
        <v>110</v>
      </c>
      <c r="BD463" t="s">
        <v>94</v>
      </c>
      <c r="BE463" t="s">
        <v>133</v>
      </c>
      <c r="BF463" t="s">
        <v>132</v>
      </c>
      <c r="BG463">
        <v>6</v>
      </c>
      <c r="BM463">
        <v>0</v>
      </c>
      <c r="BN463">
        <v>0</v>
      </c>
      <c r="BO463">
        <v>0</v>
      </c>
      <c r="BP463">
        <v>0</v>
      </c>
      <c r="BQ463">
        <v>0</v>
      </c>
      <c r="BR463">
        <v>0</v>
      </c>
      <c r="BS463">
        <v>0</v>
      </c>
      <c r="BT463">
        <v>0</v>
      </c>
      <c r="BU463">
        <v>0</v>
      </c>
      <c r="BV463">
        <v>0</v>
      </c>
      <c r="BW463">
        <v>0</v>
      </c>
      <c r="BX463">
        <v>0</v>
      </c>
      <c r="BY463">
        <v>0</v>
      </c>
      <c r="BZ463">
        <v>0</v>
      </c>
      <c r="CA463">
        <v>0</v>
      </c>
      <c r="CB463">
        <v>0</v>
      </c>
      <c r="CC463">
        <v>0</v>
      </c>
      <c r="CD463">
        <v>0</v>
      </c>
      <c r="CE463">
        <v>0</v>
      </c>
      <c r="CF463">
        <v>0</v>
      </c>
      <c r="CG463">
        <v>0</v>
      </c>
      <c r="CH463">
        <v>0</v>
      </c>
      <c r="CI463">
        <v>0</v>
      </c>
      <c r="CJ463">
        <v>0</v>
      </c>
      <c r="CK463">
        <v>0</v>
      </c>
      <c r="CL463">
        <v>0</v>
      </c>
      <c r="CM463">
        <v>0</v>
      </c>
      <c r="CN463">
        <v>0</v>
      </c>
      <c r="CO463">
        <v>0</v>
      </c>
      <c r="CP463">
        <v>0</v>
      </c>
      <c r="CQ463">
        <v>0</v>
      </c>
      <c r="CR463">
        <v>0</v>
      </c>
      <c r="CS463">
        <v>0</v>
      </c>
      <c r="CT463">
        <v>0</v>
      </c>
      <c r="DE463" t="s">
        <v>0</v>
      </c>
    </row>
    <row r="464" spans="1:109" hidden="1" x14ac:dyDescent="0.35">
      <c r="A464">
        <v>197562</v>
      </c>
      <c r="B464">
        <v>197562</v>
      </c>
      <c r="D464" t="s">
        <v>121</v>
      </c>
      <c r="E464" t="s">
        <v>120</v>
      </c>
      <c r="F464" t="s">
        <v>104</v>
      </c>
      <c r="G464" t="s">
        <v>119</v>
      </c>
      <c r="H464" t="s">
        <v>118</v>
      </c>
      <c r="J464">
        <v>356476818</v>
      </c>
      <c r="K464" t="s">
        <v>125</v>
      </c>
      <c r="L464" t="s">
        <v>131</v>
      </c>
      <c r="M464" t="s">
        <v>39</v>
      </c>
      <c r="P464" t="s">
        <v>5</v>
      </c>
      <c r="Q464" t="s">
        <v>4</v>
      </c>
      <c r="R464" t="s">
        <v>52</v>
      </c>
      <c r="S464" t="s">
        <v>2</v>
      </c>
      <c r="V464" t="s">
        <v>51</v>
      </c>
      <c r="AI464" t="s">
        <v>130</v>
      </c>
      <c r="AK464" t="s">
        <v>129</v>
      </c>
      <c r="AL464">
        <v>4600140</v>
      </c>
      <c r="AM464" t="s">
        <v>114</v>
      </c>
      <c r="AN464" t="s">
        <v>113</v>
      </c>
      <c r="AO464" t="s">
        <v>112</v>
      </c>
      <c r="AP464" t="s">
        <v>125</v>
      </c>
      <c r="AQ464" t="s">
        <v>128</v>
      </c>
      <c r="AR464" s="1">
        <v>44092</v>
      </c>
      <c r="AX464">
        <v>11</v>
      </c>
      <c r="AY464">
        <v>651114</v>
      </c>
      <c r="AZ464">
        <v>5515368</v>
      </c>
      <c r="BA464">
        <v>2402</v>
      </c>
      <c r="BB464" t="s">
        <v>127</v>
      </c>
      <c r="BC464" t="s">
        <v>126</v>
      </c>
      <c r="BD464" t="s">
        <v>94</v>
      </c>
      <c r="BE464" t="s">
        <v>125</v>
      </c>
      <c r="BF464" t="s">
        <v>124</v>
      </c>
      <c r="BG464">
        <v>6</v>
      </c>
      <c r="BM464">
        <v>0</v>
      </c>
      <c r="BN464">
        <v>0</v>
      </c>
      <c r="BO464">
        <v>0</v>
      </c>
      <c r="BP464">
        <v>0</v>
      </c>
      <c r="BQ464">
        <v>0</v>
      </c>
      <c r="BR464">
        <v>0</v>
      </c>
      <c r="BS464">
        <v>0</v>
      </c>
      <c r="BT464">
        <v>0</v>
      </c>
      <c r="BU464">
        <v>0</v>
      </c>
      <c r="BV464">
        <v>0</v>
      </c>
      <c r="BW464">
        <v>0</v>
      </c>
      <c r="BX464">
        <v>0</v>
      </c>
      <c r="BY464">
        <v>0</v>
      </c>
      <c r="BZ464">
        <v>0</v>
      </c>
      <c r="CA464">
        <v>0</v>
      </c>
      <c r="CB464">
        <v>0</v>
      </c>
      <c r="CC464">
        <v>0</v>
      </c>
      <c r="CD464">
        <v>0</v>
      </c>
      <c r="CE464">
        <v>0</v>
      </c>
      <c r="CF464">
        <v>0</v>
      </c>
      <c r="CG464">
        <v>0</v>
      </c>
      <c r="CH464">
        <v>0</v>
      </c>
      <c r="CI464">
        <v>0</v>
      </c>
      <c r="CJ464">
        <v>0</v>
      </c>
      <c r="CK464">
        <v>0</v>
      </c>
      <c r="CL464">
        <v>0</v>
      </c>
      <c r="CM464">
        <v>0</v>
      </c>
      <c r="CN464">
        <v>0</v>
      </c>
      <c r="CO464">
        <v>0</v>
      </c>
      <c r="CP464">
        <v>0</v>
      </c>
      <c r="CQ464">
        <v>0</v>
      </c>
      <c r="CR464">
        <v>0</v>
      </c>
      <c r="CS464">
        <v>0</v>
      </c>
      <c r="CT464">
        <v>0</v>
      </c>
      <c r="DE464" t="s">
        <v>0</v>
      </c>
    </row>
    <row r="465" spans="1:109" s="2" customFormat="1" hidden="1" x14ac:dyDescent="0.35">
      <c r="A465" s="2">
        <v>1004606108</v>
      </c>
      <c r="D465" s="2" t="s">
        <v>100</v>
      </c>
      <c r="E465" s="2" t="s">
        <v>99</v>
      </c>
      <c r="F465" s="2" t="s">
        <v>104</v>
      </c>
      <c r="G465" s="2" t="s">
        <v>103</v>
      </c>
      <c r="J465" s="2">
        <v>356563871</v>
      </c>
      <c r="AL465" s="2">
        <v>4606108</v>
      </c>
      <c r="AX465" s="2">
        <v>11</v>
      </c>
      <c r="AY465" s="2">
        <v>661012</v>
      </c>
      <c r="AZ465" s="2">
        <v>5535153</v>
      </c>
      <c r="BA465" s="2">
        <v>12634.9188957853</v>
      </c>
      <c r="BB465" s="2" t="s">
        <v>96</v>
      </c>
      <c r="BC465" s="2" t="s">
        <v>107</v>
      </c>
      <c r="BD465" s="2" t="s">
        <v>94</v>
      </c>
      <c r="BE465" s="2" t="s">
        <v>93</v>
      </c>
      <c r="BF465" s="2" t="s">
        <v>123</v>
      </c>
      <c r="BG465" s="2">
        <v>6</v>
      </c>
      <c r="BH465" s="2" t="s">
        <v>122</v>
      </c>
      <c r="BI465" s="2">
        <v>9</v>
      </c>
      <c r="BM465" s="2">
        <v>0</v>
      </c>
      <c r="BN465" s="2">
        <v>0</v>
      </c>
      <c r="BO465" s="2">
        <v>0</v>
      </c>
      <c r="BP465" s="2">
        <v>0</v>
      </c>
      <c r="BQ465" s="2">
        <v>0</v>
      </c>
      <c r="BR465" s="2">
        <v>0</v>
      </c>
      <c r="BS465" s="2">
        <v>0</v>
      </c>
      <c r="BT465" s="2">
        <v>0</v>
      </c>
      <c r="BU465" s="2">
        <v>0</v>
      </c>
      <c r="BV465" s="2">
        <v>0</v>
      </c>
      <c r="BW465" s="2">
        <v>0</v>
      </c>
      <c r="BX465" s="2">
        <v>0</v>
      </c>
      <c r="BY465" s="2">
        <v>0</v>
      </c>
      <c r="BZ465" s="2">
        <v>0</v>
      </c>
      <c r="CA465" s="2">
        <v>0</v>
      </c>
      <c r="CB465" s="2">
        <v>0</v>
      </c>
      <c r="CC465" s="2">
        <v>0</v>
      </c>
      <c r="CD465" s="2">
        <v>0</v>
      </c>
      <c r="CE465" s="2">
        <v>0</v>
      </c>
      <c r="CF465" s="2">
        <v>0</v>
      </c>
      <c r="CG465" s="2">
        <v>0</v>
      </c>
      <c r="CH465" s="2">
        <v>0</v>
      </c>
      <c r="CI465" s="2">
        <v>0</v>
      </c>
      <c r="CJ465" s="2">
        <v>0</v>
      </c>
      <c r="CK465" s="2">
        <v>4.9549322550097497</v>
      </c>
      <c r="CL465" s="2">
        <v>7.2346201538873398</v>
      </c>
      <c r="CM465" s="2">
        <v>0</v>
      </c>
      <c r="CN465" s="2">
        <v>0</v>
      </c>
      <c r="CO465" s="2">
        <v>4.95</v>
      </c>
      <c r="CP465" s="2">
        <v>0</v>
      </c>
      <c r="CQ465" s="2">
        <v>7.23</v>
      </c>
      <c r="CR465" s="2">
        <v>0</v>
      </c>
      <c r="CS465" s="2">
        <v>7.23</v>
      </c>
      <c r="CT465" s="2">
        <v>0</v>
      </c>
      <c r="DE465" s="2" t="s">
        <v>0</v>
      </c>
    </row>
    <row r="466" spans="1:109" hidden="1" x14ac:dyDescent="0.35">
      <c r="A466">
        <v>197537</v>
      </c>
      <c r="B466">
        <v>197537</v>
      </c>
      <c r="D466" t="s">
        <v>121</v>
      </c>
      <c r="E466" t="s">
        <v>120</v>
      </c>
      <c r="F466" t="s">
        <v>104</v>
      </c>
      <c r="G466" t="s">
        <v>119</v>
      </c>
      <c r="H466" t="s">
        <v>118</v>
      </c>
      <c r="J466">
        <v>356562897</v>
      </c>
      <c r="K466" t="s">
        <v>109</v>
      </c>
      <c r="L466" t="s">
        <v>112</v>
      </c>
      <c r="M466" t="s">
        <v>39</v>
      </c>
      <c r="P466" t="s">
        <v>38</v>
      </c>
      <c r="Q466" t="s">
        <v>4</v>
      </c>
      <c r="V466" t="s">
        <v>36</v>
      </c>
      <c r="AE466" t="s">
        <v>35</v>
      </c>
      <c r="AI466" t="s">
        <v>117</v>
      </c>
      <c r="AJ466" t="s">
        <v>116</v>
      </c>
      <c r="AK466" t="s">
        <v>115</v>
      </c>
      <c r="AL466">
        <v>4600184</v>
      </c>
      <c r="AM466" t="s">
        <v>114</v>
      </c>
      <c r="AN466" t="s">
        <v>113</v>
      </c>
      <c r="AO466" t="s">
        <v>112</v>
      </c>
      <c r="AP466" t="s">
        <v>109</v>
      </c>
      <c r="AQ466" t="s">
        <v>111</v>
      </c>
      <c r="AR466" s="1">
        <v>44092</v>
      </c>
      <c r="AX466">
        <v>11</v>
      </c>
      <c r="AY466">
        <v>650951</v>
      </c>
      <c r="AZ466">
        <v>5522190</v>
      </c>
      <c r="BA466">
        <v>1887</v>
      </c>
      <c r="BB466" t="s">
        <v>110</v>
      </c>
      <c r="BC466" t="s">
        <v>110</v>
      </c>
      <c r="BD466" t="s">
        <v>94</v>
      </c>
      <c r="BE466" t="s">
        <v>109</v>
      </c>
      <c r="BF466" t="s">
        <v>108</v>
      </c>
      <c r="BG466">
        <v>7</v>
      </c>
      <c r="BM466">
        <v>0</v>
      </c>
      <c r="BN466">
        <v>0</v>
      </c>
      <c r="BO466">
        <v>0</v>
      </c>
      <c r="BP466">
        <v>0</v>
      </c>
      <c r="BQ466">
        <v>0</v>
      </c>
      <c r="BR466">
        <v>0</v>
      </c>
      <c r="BS466">
        <v>0</v>
      </c>
      <c r="BT466">
        <v>0</v>
      </c>
      <c r="BU466">
        <v>0</v>
      </c>
      <c r="BV466">
        <v>0</v>
      </c>
      <c r="BW466">
        <v>0</v>
      </c>
      <c r="BX466">
        <v>0</v>
      </c>
      <c r="BY466">
        <v>0</v>
      </c>
      <c r="BZ466">
        <v>0</v>
      </c>
      <c r="CA466">
        <v>0</v>
      </c>
      <c r="CB466">
        <v>0</v>
      </c>
      <c r="CC466">
        <v>0</v>
      </c>
      <c r="CD466">
        <v>0</v>
      </c>
      <c r="CE466">
        <v>0</v>
      </c>
      <c r="CF466">
        <v>0</v>
      </c>
      <c r="CG466">
        <v>0</v>
      </c>
      <c r="CH466">
        <v>0</v>
      </c>
      <c r="CI466">
        <v>0</v>
      </c>
      <c r="CJ466">
        <v>0</v>
      </c>
      <c r="CK466">
        <v>0</v>
      </c>
      <c r="CL466">
        <v>0</v>
      </c>
      <c r="CM466">
        <v>0</v>
      </c>
      <c r="CN466">
        <v>0</v>
      </c>
      <c r="CO466">
        <v>0</v>
      </c>
      <c r="CP466">
        <v>0</v>
      </c>
      <c r="CQ466">
        <v>0</v>
      </c>
      <c r="CR466">
        <v>0</v>
      </c>
      <c r="CS466">
        <v>0</v>
      </c>
      <c r="CT466">
        <v>0</v>
      </c>
      <c r="DE466" t="s">
        <v>0</v>
      </c>
    </row>
    <row r="467" spans="1:109" s="2" customFormat="1" hidden="1" x14ac:dyDescent="0.35">
      <c r="A467" s="2">
        <v>1004604461</v>
      </c>
      <c r="D467" s="2" t="s">
        <v>100</v>
      </c>
      <c r="E467" s="2" t="s">
        <v>99</v>
      </c>
      <c r="F467" s="2" t="s">
        <v>104</v>
      </c>
      <c r="G467" s="2" t="s">
        <v>103</v>
      </c>
      <c r="J467" s="2">
        <v>356563871</v>
      </c>
      <c r="AL467" s="2">
        <v>4604461</v>
      </c>
      <c r="AX467" s="2">
        <v>11</v>
      </c>
      <c r="AY467" s="2">
        <v>661041</v>
      </c>
      <c r="AZ467" s="2">
        <v>5535275</v>
      </c>
      <c r="BA467" s="2">
        <v>12761.072399713299</v>
      </c>
      <c r="BB467" s="2" t="s">
        <v>96</v>
      </c>
      <c r="BC467" s="2" t="s">
        <v>107</v>
      </c>
      <c r="BD467" s="2" t="s">
        <v>94</v>
      </c>
      <c r="BE467" s="2" t="s">
        <v>93</v>
      </c>
      <c r="BF467" s="2" t="s">
        <v>106</v>
      </c>
      <c r="BG467" s="2">
        <v>7</v>
      </c>
      <c r="BH467" s="2" t="s">
        <v>105</v>
      </c>
      <c r="BI467" s="2">
        <v>8</v>
      </c>
      <c r="BM467" s="2">
        <v>0</v>
      </c>
      <c r="BN467" s="2">
        <v>0</v>
      </c>
      <c r="BO467" s="2">
        <v>0</v>
      </c>
      <c r="BP467" s="2">
        <v>0</v>
      </c>
      <c r="BQ467" s="2">
        <v>0</v>
      </c>
      <c r="BR467" s="2">
        <v>0</v>
      </c>
      <c r="BS467" s="2">
        <v>0</v>
      </c>
      <c r="BT467" s="2">
        <v>0</v>
      </c>
      <c r="BU467" s="2">
        <v>0</v>
      </c>
      <c r="BV467" s="2">
        <v>0</v>
      </c>
      <c r="BW467" s="2">
        <v>0</v>
      </c>
      <c r="BX467" s="2">
        <v>0</v>
      </c>
      <c r="BY467" s="2">
        <v>0</v>
      </c>
      <c r="BZ467" s="2">
        <v>0</v>
      </c>
      <c r="CA467" s="2">
        <v>0</v>
      </c>
      <c r="CB467" s="2">
        <v>0</v>
      </c>
      <c r="CC467" s="2">
        <v>0</v>
      </c>
      <c r="CD467" s="2">
        <v>0</v>
      </c>
      <c r="CE467" s="2">
        <v>0</v>
      </c>
      <c r="CF467" s="2">
        <v>0</v>
      </c>
      <c r="CG467" s="2">
        <v>0</v>
      </c>
      <c r="CH467" s="2">
        <v>0</v>
      </c>
      <c r="CI467" s="2">
        <v>0</v>
      </c>
      <c r="CJ467" s="2">
        <v>0</v>
      </c>
      <c r="CK467" s="2">
        <v>4.9549322550097497</v>
      </c>
      <c r="CL467" s="2">
        <v>7.2346201538873398</v>
      </c>
      <c r="CM467" s="2">
        <v>0</v>
      </c>
      <c r="CN467" s="2">
        <v>0</v>
      </c>
      <c r="CO467" s="2">
        <v>4.95</v>
      </c>
      <c r="CP467" s="2">
        <v>0</v>
      </c>
      <c r="CQ467" s="2">
        <v>7.23</v>
      </c>
      <c r="CR467" s="2">
        <v>0</v>
      </c>
      <c r="CS467" s="2">
        <v>7.23</v>
      </c>
      <c r="CT467" s="2">
        <v>0</v>
      </c>
      <c r="DE467" s="2" t="s">
        <v>0</v>
      </c>
    </row>
    <row r="468" spans="1:109" s="2" customFormat="1" hidden="1" x14ac:dyDescent="0.35">
      <c r="A468" s="2">
        <v>1004604098</v>
      </c>
      <c r="D468" s="2" t="s">
        <v>100</v>
      </c>
      <c r="E468" s="2" t="s">
        <v>99</v>
      </c>
      <c r="F468" s="2" t="s">
        <v>104</v>
      </c>
      <c r="G468" s="2" t="s">
        <v>103</v>
      </c>
      <c r="J468" s="2">
        <v>356563871</v>
      </c>
      <c r="AL468" s="2">
        <v>4604098</v>
      </c>
      <c r="AX468" s="2">
        <v>11</v>
      </c>
      <c r="AY468" s="2">
        <v>661326</v>
      </c>
      <c r="AZ468" s="2">
        <v>5535954</v>
      </c>
      <c r="BA468" s="2">
        <v>13540.114040460199</v>
      </c>
      <c r="BB468" s="2" t="s">
        <v>96</v>
      </c>
      <c r="BC468" s="2" t="s">
        <v>102</v>
      </c>
      <c r="BD468" s="2" t="s">
        <v>94</v>
      </c>
      <c r="BE468" s="2" t="s">
        <v>93</v>
      </c>
      <c r="BF468" s="2" t="s">
        <v>101</v>
      </c>
      <c r="BG468" s="2">
        <v>8</v>
      </c>
      <c r="BH468" s="2" t="s">
        <v>91</v>
      </c>
      <c r="BI468" s="2">
        <v>7</v>
      </c>
      <c r="BM468" s="2">
        <v>0</v>
      </c>
      <c r="BN468" s="2">
        <v>0</v>
      </c>
      <c r="BO468" s="2">
        <v>0</v>
      </c>
      <c r="BP468" s="2">
        <v>0</v>
      </c>
      <c r="BQ468" s="2">
        <v>0</v>
      </c>
      <c r="BR468" s="2">
        <v>0</v>
      </c>
      <c r="BS468" s="2">
        <v>0</v>
      </c>
      <c r="BT468" s="2">
        <v>0</v>
      </c>
      <c r="BU468" s="2">
        <v>0</v>
      </c>
      <c r="BV468" s="2">
        <v>0</v>
      </c>
      <c r="BW468" s="2">
        <v>0</v>
      </c>
      <c r="BX468" s="2">
        <v>0</v>
      </c>
      <c r="BY468" s="2">
        <v>0</v>
      </c>
      <c r="BZ468" s="2">
        <v>0</v>
      </c>
      <c r="CA468" s="2">
        <v>0</v>
      </c>
      <c r="CB468" s="2">
        <v>0</v>
      </c>
      <c r="CC468" s="2">
        <v>0</v>
      </c>
      <c r="CD468" s="2">
        <v>0</v>
      </c>
      <c r="CE468" s="2">
        <v>0</v>
      </c>
      <c r="CF468" s="2">
        <v>0</v>
      </c>
      <c r="CG468" s="2">
        <v>0</v>
      </c>
      <c r="CH468" s="2">
        <v>0</v>
      </c>
      <c r="CI468" s="2">
        <v>0</v>
      </c>
      <c r="CJ468" s="2">
        <v>0</v>
      </c>
      <c r="CK468" s="2">
        <v>4.9549322550097497</v>
      </c>
      <c r="CL468" s="2">
        <v>7.2346201538873398</v>
      </c>
      <c r="CM468" s="2">
        <v>4.78</v>
      </c>
      <c r="CN468" s="2">
        <v>5.1100000000000003</v>
      </c>
      <c r="CO468" s="2">
        <v>4.95</v>
      </c>
      <c r="CP468" s="2">
        <v>4.7699999999999996</v>
      </c>
      <c r="CQ468" s="2">
        <v>7.23</v>
      </c>
      <c r="CR468" s="2">
        <v>5.1100000000000003</v>
      </c>
      <c r="CS468" s="2">
        <v>7.23</v>
      </c>
      <c r="CT468" s="2">
        <v>5.1100000000000003</v>
      </c>
      <c r="DE468" s="2" t="s">
        <v>0</v>
      </c>
    </row>
    <row r="469" spans="1:109" hidden="1" x14ac:dyDescent="0.35">
      <c r="A469">
        <v>1004605015</v>
      </c>
      <c r="D469" t="s">
        <v>100</v>
      </c>
      <c r="E469" t="s">
        <v>99</v>
      </c>
      <c r="F469" t="s">
        <v>98</v>
      </c>
      <c r="G469" t="s">
        <v>97</v>
      </c>
      <c r="J469">
        <v>356563871</v>
      </c>
      <c r="AL469">
        <v>4605015</v>
      </c>
      <c r="AX469">
        <v>11</v>
      </c>
      <c r="AY469">
        <v>661463</v>
      </c>
      <c r="AZ469">
        <v>5536261</v>
      </c>
      <c r="BA469">
        <v>13914.637206237399</v>
      </c>
      <c r="BB469" t="s">
        <v>96</v>
      </c>
      <c r="BC469" t="s">
        <v>95</v>
      </c>
      <c r="BD469" t="s">
        <v>94</v>
      </c>
      <c r="BE469" t="s">
        <v>93</v>
      </c>
      <c r="BF469" t="s">
        <v>92</v>
      </c>
      <c r="BG469">
        <v>9</v>
      </c>
      <c r="BH469" t="s">
        <v>91</v>
      </c>
      <c r="BI469">
        <v>7</v>
      </c>
      <c r="BM469">
        <v>0</v>
      </c>
      <c r="BN469">
        <v>0</v>
      </c>
      <c r="BO469">
        <v>0</v>
      </c>
      <c r="BP469">
        <v>0</v>
      </c>
      <c r="BQ469">
        <v>0</v>
      </c>
      <c r="BR469">
        <v>0</v>
      </c>
      <c r="BS469">
        <v>0</v>
      </c>
      <c r="BT469">
        <v>0</v>
      </c>
      <c r="BU469">
        <v>0</v>
      </c>
      <c r="BV469">
        <v>0</v>
      </c>
      <c r="BW469">
        <v>0</v>
      </c>
      <c r="BX469">
        <v>0</v>
      </c>
      <c r="BY469">
        <v>0</v>
      </c>
      <c r="BZ469">
        <v>0</v>
      </c>
      <c r="CA469">
        <v>0</v>
      </c>
      <c r="CB469">
        <v>0</v>
      </c>
      <c r="CC469">
        <v>0</v>
      </c>
      <c r="CD469">
        <v>0</v>
      </c>
      <c r="CE469">
        <v>0</v>
      </c>
      <c r="CF469">
        <v>0</v>
      </c>
      <c r="CG469">
        <v>0</v>
      </c>
      <c r="CH469">
        <v>0</v>
      </c>
      <c r="CI469">
        <v>0</v>
      </c>
      <c r="CJ469">
        <v>0</v>
      </c>
      <c r="CK469">
        <v>4.7994596480830003</v>
      </c>
      <c r="CL469">
        <v>7.0791475469605896</v>
      </c>
      <c r="CM469">
        <v>4.62</v>
      </c>
      <c r="CN469">
        <v>4.96</v>
      </c>
      <c r="CO469">
        <v>4.8</v>
      </c>
      <c r="CP469">
        <v>4.8</v>
      </c>
      <c r="CQ469">
        <v>7.08</v>
      </c>
      <c r="CR469">
        <v>7.08</v>
      </c>
      <c r="CS469">
        <v>7.08</v>
      </c>
      <c r="CT469">
        <v>7.08</v>
      </c>
      <c r="DE469" t="s">
        <v>0</v>
      </c>
    </row>
    <row r="470" spans="1:109" hidden="1" x14ac:dyDescent="0.35">
      <c r="B470">
        <v>1024735443</v>
      </c>
      <c r="K470" t="s">
        <v>90</v>
      </c>
      <c r="L470" t="s">
        <v>14</v>
      </c>
      <c r="M470" t="s">
        <v>7</v>
      </c>
      <c r="P470" t="s">
        <v>5</v>
      </c>
      <c r="Q470" t="s">
        <v>47</v>
      </c>
      <c r="R470" t="s">
        <v>3</v>
      </c>
      <c r="S470" t="s">
        <v>60</v>
      </c>
      <c r="AI470" t="s">
        <v>42</v>
      </c>
      <c r="AJ470" t="s">
        <v>89</v>
      </c>
      <c r="DE470" t="s">
        <v>0</v>
      </c>
    </row>
    <row r="471" spans="1:109" hidden="1" x14ac:dyDescent="0.35">
      <c r="B471">
        <v>197549</v>
      </c>
      <c r="K471" t="s">
        <v>19</v>
      </c>
      <c r="L471" t="s">
        <v>88</v>
      </c>
      <c r="M471" t="s">
        <v>39</v>
      </c>
      <c r="P471" t="s">
        <v>5</v>
      </c>
      <c r="Q471" t="s">
        <v>4</v>
      </c>
      <c r="R471" t="s">
        <v>12</v>
      </c>
      <c r="S471" t="s">
        <v>2</v>
      </c>
      <c r="V471" t="s">
        <v>51</v>
      </c>
      <c r="AI471" t="s">
        <v>87</v>
      </c>
      <c r="AK471" t="s">
        <v>86</v>
      </c>
      <c r="DE471" t="s">
        <v>0</v>
      </c>
    </row>
    <row r="472" spans="1:109" hidden="1" x14ac:dyDescent="0.35">
      <c r="B472">
        <v>1004603432</v>
      </c>
      <c r="K472" t="s">
        <v>85</v>
      </c>
      <c r="L472" t="s">
        <v>84</v>
      </c>
      <c r="M472" t="s">
        <v>7</v>
      </c>
      <c r="P472" t="s">
        <v>5</v>
      </c>
      <c r="Q472" t="s">
        <v>47</v>
      </c>
      <c r="R472" t="s">
        <v>3</v>
      </c>
      <c r="S472" t="s">
        <v>60</v>
      </c>
      <c r="AI472" t="s">
        <v>42</v>
      </c>
      <c r="AJ472" t="s">
        <v>83</v>
      </c>
      <c r="DE472" t="s">
        <v>0</v>
      </c>
    </row>
    <row r="473" spans="1:109" hidden="1" x14ac:dyDescent="0.35">
      <c r="B473">
        <v>197575</v>
      </c>
      <c r="K473" t="s">
        <v>19</v>
      </c>
      <c r="L473" t="s">
        <v>53</v>
      </c>
      <c r="M473" t="s">
        <v>39</v>
      </c>
      <c r="P473" t="s">
        <v>5</v>
      </c>
      <c r="Q473" t="s">
        <v>4</v>
      </c>
      <c r="R473" t="s">
        <v>52</v>
      </c>
      <c r="S473" t="s">
        <v>2</v>
      </c>
      <c r="V473" t="s">
        <v>51</v>
      </c>
      <c r="AI473" t="s">
        <v>50</v>
      </c>
      <c r="AK473" t="s">
        <v>82</v>
      </c>
      <c r="DE473" t="s">
        <v>0</v>
      </c>
    </row>
    <row r="474" spans="1:109" hidden="1" x14ac:dyDescent="0.35">
      <c r="B474">
        <v>197861</v>
      </c>
      <c r="K474" t="s">
        <v>76</v>
      </c>
      <c r="L474" t="s">
        <v>81</v>
      </c>
      <c r="M474" t="s">
        <v>7</v>
      </c>
      <c r="P474" t="s">
        <v>5</v>
      </c>
      <c r="Q474" t="s">
        <v>4</v>
      </c>
      <c r="R474" t="s">
        <v>3</v>
      </c>
      <c r="S474" t="s">
        <v>2</v>
      </c>
      <c r="AI474" t="s">
        <v>42</v>
      </c>
      <c r="AK474" t="s">
        <v>80</v>
      </c>
      <c r="DE474" t="s">
        <v>0</v>
      </c>
    </row>
    <row r="475" spans="1:109" hidden="1" x14ac:dyDescent="0.35">
      <c r="B475">
        <v>1004605338</v>
      </c>
      <c r="K475" t="s">
        <v>76</v>
      </c>
      <c r="L475" t="s">
        <v>26</v>
      </c>
      <c r="M475" t="s">
        <v>7</v>
      </c>
      <c r="P475" t="s">
        <v>5</v>
      </c>
      <c r="Q475" t="s">
        <v>4</v>
      </c>
      <c r="R475" t="s">
        <v>79</v>
      </c>
      <c r="S475" t="s">
        <v>2</v>
      </c>
      <c r="AI475" t="s">
        <v>78</v>
      </c>
      <c r="AJ475" t="s">
        <v>77</v>
      </c>
      <c r="DE475" t="s">
        <v>0</v>
      </c>
    </row>
    <row r="476" spans="1:109" hidden="1" x14ac:dyDescent="0.35">
      <c r="B476">
        <v>1004605216</v>
      </c>
      <c r="K476" t="s">
        <v>76</v>
      </c>
      <c r="L476" t="s">
        <v>26</v>
      </c>
      <c r="M476" t="s">
        <v>7</v>
      </c>
      <c r="P476" t="s">
        <v>5</v>
      </c>
      <c r="Q476" t="s">
        <v>4</v>
      </c>
      <c r="R476" t="s">
        <v>3</v>
      </c>
      <c r="S476" t="s">
        <v>2</v>
      </c>
      <c r="AI476" t="s">
        <v>75</v>
      </c>
      <c r="DE476" t="s">
        <v>0</v>
      </c>
    </row>
    <row r="477" spans="1:109" hidden="1" x14ac:dyDescent="0.35">
      <c r="B477">
        <v>1024734179</v>
      </c>
      <c r="K477" t="s">
        <v>74</v>
      </c>
      <c r="L477" t="s">
        <v>26</v>
      </c>
      <c r="M477" t="s">
        <v>7</v>
      </c>
      <c r="P477" t="s">
        <v>5</v>
      </c>
      <c r="Q477" t="s">
        <v>37</v>
      </c>
      <c r="R477" t="s">
        <v>3</v>
      </c>
      <c r="S477" t="s">
        <v>2</v>
      </c>
      <c r="AI477" t="s">
        <v>73</v>
      </c>
      <c r="AK477" t="s">
        <v>72</v>
      </c>
      <c r="DE477" t="s">
        <v>0</v>
      </c>
    </row>
    <row r="478" spans="1:109" hidden="1" x14ac:dyDescent="0.35">
      <c r="B478">
        <v>1004606284</v>
      </c>
      <c r="K478" t="s">
        <v>71</v>
      </c>
      <c r="L478" t="s">
        <v>26</v>
      </c>
      <c r="M478" t="s">
        <v>70</v>
      </c>
      <c r="N478" t="s">
        <v>69</v>
      </c>
      <c r="P478" t="s">
        <v>5</v>
      </c>
      <c r="Q478" t="s">
        <v>47</v>
      </c>
      <c r="R478" t="s">
        <v>12</v>
      </c>
      <c r="S478" t="s">
        <v>17</v>
      </c>
      <c r="AI478" t="s">
        <v>68</v>
      </c>
      <c r="AJ478" t="s">
        <v>67</v>
      </c>
      <c r="DE478" t="s">
        <v>0</v>
      </c>
    </row>
    <row r="479" spans="1:109" hidden="1" x14ac:dyDescent="0.35">
      <c r="B479">
        <v>50159</v>
      </c>
      <c r="K479" t="s">
        <v>15</v>
      </c>
      <c r="L479" t="s">
        <v>40</v>
      </c>
      <c r="M479" t="s">
        <v>39</v>
      </c>
      <c r="P479" t="s">
        <v>38</v>
      </c>
      <c r="Q479" t="s">
        <v>37</v>
      </c>
      <c r="V479" t="s">
        <v>36</v>
      </c>
      <c r="AE479" t="s">
        <v>35</v>
      </c>
      <c r="AI479" t="s">
        <v>66</v>
      </c>
      <c r="AJ479" t="s">
        <v>65</v>
      </c>
      <c r="AK479" t="s">
        <v>64</v>
      </c>
      <c r="DE479" t="s">
        <v>0</v>
      </c>
    </row>
    <row r="480" spans="1:109" hidden="1" x14ac:dyDescent="0.35">
      <c r="B480">
        <v>112336</v>
      </c>
      <c r="K480" t="s">
        <v>63</v>
      </c>
      <c r="L480" t="s">
        <v>62</v>
      </c>
      <c r="M480" t="s">
        <v>39</v>
      </c>
      <c r="N480" t="s">
        <v>61</v>
      </c>
      <c r="P480" t="s">
        <v>5</v>
      </c>
      <c r="Q480" t="s">
        <v>4</v>
      </c>
      <c r="R480" t="s">
        <v>52</v>
      </c>
      <c r="S480" t="s">
        <v>60</v>
      </c>
      <c r="AI480" t="s">
        <v>59</v>
      </c>
      <c r="AJ480" t="s">
        <v>58</v>
      </c>
      <c r="AK480" t="s">
        <v>57</v>
      </c>
      <c r="DE480" t="s">
        <v>0</v>
      </c>
    </row>
    <row r="481" spans="2:109" hidden="1" x14ac:dyDescent="0.35">
      <c r="B481">
        <v>197838</v>
      </c>
      <c r="K481" t="s">
        <v>56</v>
      </c>
      <c r="L481" t="s">
        <v>26</v>
      </c>
      <c r="M481" t="s">
        <v>7</v>
      </c>
      <c r="P481" t="s">
        <v>5</v>
      </c>
      <c r="Q481" t="s">
        <v>4</v>
      </c>
      <c r="R481" t="s">
        <v>3</v>
      </c>
      <c r="S481" t="s">
        <v>2</v>
      </c>
      <c r="AI481" t="s">
        <v>42</v>
      </c>
      <c r="AJ481" t="s">
        <v>55</v>
      </c>
      <c r="AK481" t="s">
        <v>54</v>
      </c>
      <c r="DE481" t="s">
        <v>0</v>
      </c>
    </row>
    <row r="482" spans="2:109" hidden="1" x14ac:dyDescent="0.35">
      <c r="B482">
        <v>197576</v>
      </c>
      <c r="K482" t="s">
        <v>19</v>
      </c>
      <c r="L482" t="s">
        <v>53</v>
      </c>
      <c r="M482" t="s">
        <v>39</v>
      </c>
      <c r="P482" t="s">
        <v>5</v>
      </c>
      <c r="Q482" t="s">
        <v>4</v>
      </c>
      <c r="R482" t="s">
        <v>52</v>
      </c>
      <c r="S482" t="s">
        <v>2</v>
      </c>
      <c r="V482" t="s">
        <v>51</v>
      </c>
      <c r="AI482" t="s">
        <v>50</v>
      </c>
      <c r="AK482" t="s">
        <v>49</v>
      </c>
      <c r="DE482" t="s">
        <v>0</v>
      </c>
    </row>
    <row r="483" spans="2:109" hidden="1" x14ac:dyDescent="0.35">
      <c r="B483">
        <v>1004607172</v>
      </c>
      <c r="K483" t="s">
        <v>19</v>
      </c>
      <c r="L483" t="s">
        <v>18</v>
      </c>
      <c r="M483" t="s">
        <v>7</v>
      </c>
      <c r="P483" t="s">
        <v>5</v>
      </c>
      <c r="Q483" t="s">
        <v>17</v>
      </c>
      <c r="R483" t="s">
        <v>3</v>
      </c>
      <c r="S483" t="s">
        <v>2</v>
      </c>
      <c r="AI483" t="s">
        <v>42</v>
      </c>
      <c r="DE483" t="s">
        <v>0</v>
      </c>
    </row>
    <row r="484" spans="2:109" hidden="1" x14ac:dyDescent="0.35">
      <c r="B484">
        <v>197789</v>
      </c>
      <c r="K484" t="s">
        <v>48</v>
      </c>
      <c r="L484" t="s">
        <v>26</v>
      </c>
      <c r="M484" t="s">
        <v>47</v>
      </c>
      <c r="N484" t="s">
        <v>6</v>
      </c>
      <c r="P484" t="s">
        <v>5</v>
      </c>
      <c r="Q484" t="s">
        <v>4</v>
      </c>
      <c r="R484" t="s">
        <v>3</v>
      </c>
      <c r="S484" t="s">
        <v>2</v>
      </c>
      <c r="AI484" t="s">
        <v>46</v>
      </c>
      <c r="AJ484" t="s">
        <v>45</v>
      </c>
      <c r="AK484" t="s">
        <v>44</v>
      </c>
      <c r="DE484" t="s">
        <v>0</v>
      </c>
    </row>
    <row r="485" spans="2:109" hidden="1" x14ac:dyDescent="0.35">
      <c r="B485">
        <v>197805</v>
      </c>
      <c r="K485" t="s">
        <v>43</v>
      </c>
      <c r="L485" t="s">
        <v>26</v>
      </c>
      <c r="M485" t="s">
        <v>7</v>
      </c>
      <c r="P485" t="s">
        <v>5</v>
      </c>
      <c r="Q485" t="s">
        <v>4</v>
      </c>
      <c r="R485" t="s">
        <v>3</v>
      </c>
      <c r="S485" t="s">
        <v>2</v>
      </c>
      <c r="AI485" t="s">
        <v>42</v>
      </c>
      <c r="AK485" t="s">
        <v>41</v>
      </c>
      <c r="DE485" t="s">
        <v>0</v>
      </c>
    </row>
    <row r="486" spans="2:109" hidden="1" x14ac:dyDescent="0.35">
      <c r="B486">
        <v>50155</v>
      </c>
      <c r="K486" t="s">
        <v>15</v>
      </c>
      <c r="L486" t="s">
        <v>40</v>
      </c>
      <c r="M486" t="s">
        <v>39</v>
      </c>
      <c r="P486" t="s">
        <v>38</v>
      </c>
      <c r="Q486" t="s">
        <v>37</v>
      </c>
      <c r="V486" t="s">
        <v>36</v>
      </c>
      <c r="AE486" t="s">
        <v>35</v>
      </c>
      <c r="AI486" t="s">
        <v>34</v>
      </c>
      <c r="AK486" t="s">
        <v>33</v>
      </c>
      <c r="DE486" t="s">
        <v>0</v>
      </c>
    </row>
    <row r="487" spans="2:109" hidden="1" x14ac:dyDescent="0.35">
      <c r="B487" t="s">
        <v>32</v>
      </c>
      <c r="K487" t="s">
        <v>31</v>
      </c>
      <c r="L487" t="s">
        <v>30</v>
      </c>
      <c r="M487" t="s">
        <v>29</v>
      </c>
      <c r="N487" t="s">
        <v>6</v>
      </c>
      <c r="P487" t="s">
        <v>5</v>
      </c>
      <c r="Q487" t="s">
        <v>4</v>
      </c>
      <c r="R487" t="s">
        <v>12</v>
      </c>
      <c r="S487" t="s">
        <v>2</v>
      </c>
      <c r="AI487" t="s">
        <v>28</v>
      </c>
      <c r="AK487" t="s">
        <v>27</v>
      </c>
      <c r="DE487" t="s">
        <v>0</v>
      </c>
    </row>
    <row r="488" spans="2:109" hidden="1" x14ac:dyDescent="0.35">
      <c r="B488">
        <v>1004602161</v>
      </c>
      <c r="K488" t="s">
        <v>15</v>
      </c>
      <c r="L488" t="s">
        <v>26</v>
      </c>
      <c r="M488" t="s">
        <v>7</v>
      </c>
      <c r="P488" t="s">
        <v>5</v>
      </c>
      <c r="Q488" t="s">
        <v>17</v>
      </c>
      <c r="R488" t="s">
        <v>3</v>
      </c>
      <c r="AI488" t="s">
        <v>25</v>
      </c>
      <c r="AK488" t="s">
        <v>24</v>
      </c>
      <c r="DE488" t="s">
        <v>0</v>
      </c>
    </row>
    <row r="489" spans="2:109" hidden="1" x14ac:dyDescent="0.35">
      <c r="B489">
        <v>50263</v>
      </c>
      <c r="K489" t="s">
        <v>23</v>
      </c>
      <c r="L489" t="s">
        <v>22</v>
      </c>
      <c r="M489" t="s">
        <v>7</v>
      </c>
      <c r="P489" t="s">
        <v>5</v>
      </c>
      <c r="Q489" t="s">
        <v>4</v>
      </c>
      <c r="R489" t="s">
        <v>3</v>
      </c>
      <c r="AI489" t="s">
        <v>21</v>
      </c>
      <c r="AK489" t="s">
        <v>20</v>
      </c>
      <c r="DE489" t="s">
        <v>0</v>
      </c>
    </row>
    <row r="490" spans="2:109" hidden="1" x14ac:dyDescent="0.35">
      <c r="B490">
        <v>1004606929</v>
      </c>
      <c r="K490" t="s">
        <v>19</v>
      </c>
      <c r="L490" t="s">
        <v>18</v>
      </c>
      <c r="M490" t="s">
        <v>7</v>
      </c>
      <c r="P490" t="s">
        <v>5</v>
      </c>
      <c r="Q490" t="s">
        <v>17</v>
      </c>
      <c r="R490" t="s">
        <v>3</v>
      </c>
      <c r="S490" t="s">
        <v>2</v>
      </c>
      <c r="AJ490" t="s">
        <v>16</v>
      </c>
      <c r="DE490" t="s">
        <v>0</v>
      </c>
    </row>
    <row r="491" spans="2:109" hidden="1" x14ac:dyDescent="0.35">
      <c r="B491">
        <v>197544</v>
      </c>
      <c r="K491" t="s">
        <v>15</v>
      </c>
      <c r="L491" t="s">
        <v>14</v>
      </c>
      <c r="M491" t="s">
        <v>13</v>
      </c>
      <c r="P491" t="s">
        <v>5</v>
      </c>
      <c r="Q491" t="s">
        <v>4</v>
      </c>
      <c r="R491" t="s">
        <v>12</v>
      </c>
      <c r="S491" t="s">
        <v>2</v>
      </c>
      <c r="AI491" t="s">
        <v>11</v>
      </c>
      <c r="AK491" t="s">
        <v>10</v>
      </c>
      <c r="DE491" t="s">
        <v>0</v>
      </c>
    </row>
    <row r="492" spans="2:109" hidden="1" x14ac:dyDescent="0.35">
      <c r="B492">
        <v>1004603793</v>
      </c>
      <c r="K492" t="s">
        <v>9</v>
      </c>
      <c r="L492" t="s">
        <v>8</v>
      </c>
      <c r="M492" t="s">
        <v>7</v>
      </c>
      <c r="N492" t="s">
        <v>6</v>
      </c>
      <c r="P492" t="s">
        <v>5</v>
      </c>
      <c r="Q492" t="s">
        <v>4</v>
      </c>
      <c r="R492" t="s">
        <v>3</v>
      </c>
      <c r="S492" t="s">
        <v>2</v>
      </c>
      <c r="AF492" s="1">
        <v>45603</v>
      </c>
      <c r="AI492" t="s">
        <v>1</v>
      </c>
      <c r="DE492" t="s">
        <v>0</v>
      </c>
    </row>
  </sheetData>
  <autoFilter ref="A1:DE492" xr:uid="{7222906C-BAEC-49F7-8706-2A9A44E864C7}">
    <filterColumn colId="2">
      <customFilters>
        <customFilter operator="notEqual" val=" "/>
      </customFilters>
    </filterColumn>
    <sortState xmlns:xlrd2="http://schemas.microsoft.com/office/spreadsheetml/2017/richdata2" ref="A2:DE87">
      <sortCondition ref="DC2:DC87"/>
      <sortCondition ref="BG2:BG87"/>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F2D6C6860AC114F8559403465E77CC4" ma:contentTypeVersion="27" ma:contentTypeDescription="Create a new document." ma:contentTypeScope="" ma:versionID="7f3c09b010e0f4569b3ac453e7bfe55e">
  <xsd:schema xmlns:xsd="http://www.w3.org/2001/XMLSchema" xmlns:xs="http://www.w3.org/2001/XMLSchema" xmlns:p="http://schemas.microsoft.com/office/2006/metadata/properties" xmlns:ns1="http://schemas.microsoft.com/sharepoint/v3" xmlns:ns2="411171ba-2276-4762-a69b-ae0a1d76a912" xmlns:ns3="b7b7ce10-0fd6-45e3-a641-e6fecf0ad4e9" targetNamespace="http://schemas.microsoft.com/office/2006/metadata/properties" ma:root="true" ma:fieldsID="e35737402a9b6515fa276ca6441ce71a" ns1:_="" ns2:_="" ns3:_="">
    <xsd:import namespace="http://schemas.microsoft.com/sharepoint/v3"/>
    <xsd:import namespace="411171ba-2276-4762-a69b-ae0a1d76a912"/>
    <xsd:import namespace="b7b7ce10-0fd6-45e3-a641-e6fecf0ad4e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Location" minOccurs="0"/>
                <xsd:element ref="ns2:MediaServiceOCR" minOccurs="0"/>
                <xsd:element ref="ns2:MediaLengthInSeconds" minOccurs="0"/>
                <xsd:element ref="ns2:_Flow_SignoffStatu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BillingMetadata" minOccurs="0"/>
                <xsd:element ref="ns2:April_x0020_13" minOccurs="0"/>
                <xsd:element ref="ns2:Please_x0020_provide_x0020_your_x0020_full_x0020_name_x0020_" minOccurs="0"/>
                <xsd:element ref="ns2:What_x0020_is_x0020_your_x0020_contact_x0020_email_x003f_" minOccurs="0"/>
                <xsd:element ref="ns2:Which_x0020_organization_x0020_are_x0020_you_x0020_with_x003f_" minOccurs="0"/>
                <xsd:element ref="ns2:Do_x0020_you_x0020_have_x0020_an_x0020_example_x0020_of_x0020_a_x0020_sign_x0020_you_x0020_like_x003f__x0020_If_x0020_so_x002c__x0020_please_x0020_insert_x0020_the_x0020_link_x0020_below_x002e__x002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11171ba-2276-4762-a69b-ae0a1d76a9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4ae633ca-df23-44da-a17e-afa976f1f71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element name="April_x0020_13" ma:index="30" nillable="true" ma:displayName="Please choose the date(s) and time(s) when you are available for a 1 hour long meeting" ma:format="Dropdown" ma:internalName="April_x0020_13">
      <xsd:complexType>
        <xsd:complexContent>
          <xsd:extension base="dms:MultiChoice">
            <xsd:sequence>
              <xsd:element name="Value" maxOccurs="unbounded" minOccurs="0" nillable="true">
                <xsd:simpleType>
                  <xsd:restriction base="dms:Choice">
                    <xsd:enumeration value="April 9, 11 am"/>
                    <xsd:enumeration value="April 9, 12 pm"/>
                    <xsd:enumeration value="April 10, 11 am"/>
                    <xsd:enumeration value="April 13, 11 am"/>
                    <xsd:enumeration value="April 16, 11am"/>
                    <xsd:enumeration value="April 16, 12pm"/>
                    <xsd:enumeration value="April 20, 11am"/>
                    <xsd:enumeration value="April 20, 12pm"/>
                    <xsd:enumeration value="April 23, 11am"/>
                    <xsd:enumeration value="April 23, 12pm"/>
                  </xsd:restriction>
                </xsd:simpleType>
              </xsd:element>
            </xsd:sequence>
          </xsd:extension>
        </xsd:complexContent>
      </xsd:complexType>
    </xsd:element>
    <xsd:element name="Please_x0020_provide_x0020_your_x0020_full_x0020_name_x0020_" ma:index="31" nillable="true" ma:displayName="Please provide your full name" ma:internalName="Please_x0020_provide_x0020_your_x0020_full_x0020_name_x0020_">
      <xsd:simpleType>
        <xsd:restriction base="dms:Text">
          <xsd:maxLength value="255"/>
        </xsd:restriction>
      </xsd:simpleType>
    </xsd:element>
    <xsd:element name="What_x0020_is_x0020_your_x0020_contact_x0020_email_x003f_" ma:index="32" nillable="true" ma:displayName="What is your contact email?" ma:internalName="What_x0020_is_x0020_your_x0020_contact_x0020_email_x003f_">
      <xsd:simpleType>
        <xsd:restriction base="dms:Text">
          <xsd:maxLength value="255"/>
        </xsd:restriction>
      </xsd:simpleType>
    </xsd:element>
    <xsd:element name="Which_x0020_organization_x0020_are_x0020_you_x0020_with_x003f_" ma:index="33" nillable="true" ma:displayName="Which organization are you with?" ma:internalName="Which_x0020_organization_x0020_are_x0020_you_x0020_with_x003f_">
      <xsd:simpleType>
        <xsd:restriction base="dms:Text">
          <xsd:maxLength value="255"/>
        </xsd:restriction>
      </xsd:simpleType>
    </xsd:element>
    <xsd:element name="Do_x0020_you_x0020_have_x0020_an_x0020_example_x0020_of_x0020_a_x0020_sign_x0020_you_x0020_like_x003f__x0020_If_x0020_so_x002c__x0020_please_x0020_insert_x0020_the_x0020_link_x0020_below_x002e__x0020_" ma:index="34" nillable="true" ma:displayName="Do you have an example of a sign you like? If so, please insert the link below. " ma:internalName="Do_x0020_you_x0020_have_x0020_an_x0020_example_x0020_of_x0020_a_x0020_sign_x0020_you_x0020_like_x003f__x0020_If_x0020_so_x002c__x0020_please_x0020_insert_x0020_the_x0020_link_x0020_below_x002e__x0020_">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7b7ce10-0fd6-45e3-a641-e6fecf0ad4e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2a1fd321-304e-4813-b6c6-5568adbfe86d}" ma:internalName="TaxCatchAll" ma:showField="CatchAllData" ma:web="b7b7ce10-0fd6-45e3-a641-e6fecf0ad4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What_x0020_is_x0020_your_x0020_contact_x0020_email_x003f_ xmlns="411171ba-2276-4762-a69b-ae0a1d76a912" xsi:nil="true"/>
    <lcf76f155ced4ddcb4097134ff3c332f xmlns="411171ba-2276-4762-a69b-ae0a1d76a912">
      <Terms xmlns="http://schemas.microsoft.com/office/infopath/2007/PartnerControls"/>
    </lcf76f155ced4ddcb4097134ff3c332f>
    <_ip_UnifiedCompliancePolicyProperties xmlns="http://schemas.microsoft.com/sharepoint/v3" xsi:nil="true"/>
    <Please_x0020_provide_x0020_your_x0020_full_x0020_name_x0020_ xmlns="411171ba-2276-4762-a69b-ae0a1d76a912" xsi:nil="true"/>
    <_Flow_SignoffStatus xmlns="411171ba-2276-4762-a69b-ae0a1d76a912" xsi:nil="true"/>
    <TaxCatchAll xmlns="b7b7ce10-0fd6-45e3-a641-e6fecf0ad4e9" xsi:nil="true"/>
    <April_x0020_13 xmlns="411171ba-2276-4762-a69b-ae0a1d76a912" xsi:nil="true"/>
    <Do_x0020_you_x0020_have_x0020_an_x0020_example_x0020_of_x0020_a_x0020_sign_x0020_you_x0020_like_x003f__x0020_If_x0020_so_x002c__x0020_please_x0020_insert_x0020_the_x0020_link_x0020_below_x002e__x0020_ xmlns="411171ba-2276-4762-a69b-ae0a1d76a912" xsi:nil="true"/>
    <Which_x0020_organization_x0020_are_x0020_you_x0020_with_x003f_ xmlns="411171ba-2276-4762-a69b-ae0a1d76a91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1C04B4-D541-46B0-BDEA-4B8A3BCFA5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11171ba-2276-4762-a69b-ae0a1d76a912"/>
    <ds:schemaRef ds:uri="b7b7ce10-0fd6-45e3-a641-e6fecf0ad4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78DD10D-1EB0-4C51-80C3-1185B42AFE6F}">
  <ds:schemaRefs>
    <ds:schemaRef ds:uri="http://schemas.microsoft.com/office/2006/metadata/properties"/>
    <ds:schemaRef ds:uri="http://schemas.microsoft.com/office/infopath/2007/PartnerControls"/>
    <ds:schemaRef ds:uri="http://schemas.microsoft.com/sharepoint/v3"/>
    <ds:schemaRef ds:uri="411171ba-2276-4762-a69b-ae0a1d76a912"/>
    <ds:schemaRef ds:uri="b7b7ce10-0fd6-45e3-a641-e6fecf0ad4e9"/>
  </ds:schemaRefs>
</ds:datastoreItem>
</file>

<file path=customXml/itemProps3.xml><?xml version="1.0" encoding="utf-8"?>
<ds:datastoreItem xmlns:ds="http://schemas.openxmlformats.org/officeDocument/2006/customXml" ds:itemID="{E38BFE27-066D-4AFD-9F03-1E9188680C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Combined Output Table_20260424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Betty Rebellato</dc:creator>
  <cp:lastModifiedBy>Betty Rebellato</cp:lastModifiedBy>
  <dcterms:created xsi:type="dcterms:W3CDTF">2026-04-24T23:20:51Z</dcterms:created>
  <dcterms:modified xsi:type="dcterms:W3CDTF">2026-04-29T17:00:52Z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0x0101009F2D6C6860AC114F8559403465E77CC4</vt:lpwstr>
  </property>
  <property fmtid="{D5CDD505-2E9C-101B-9397-08002B2CF9AE}" pid="3" name="MediaServiceImageTags">
    <vt:lpwstr/>
  </property>
</Properties>
</file>